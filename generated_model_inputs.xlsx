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1-10,53,96,139,182,225,268,311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1-10,53,96,139,182,225,268,311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12-21,64,107,150,193,236,279,322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12-21,64,107,150,193,236,279,322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H6" t="n">
        <v>0.15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H7" t="n">
        <v>0.15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H8" t="n">
        <v>0.15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250-274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1-5,53,96-100,148,191,234,277,320,363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1-5,53,96-100,148,191,234,277,320,363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H12" t="n">
        <v>0.15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H13" t="n">
        <v>0.15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95-120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#Hulls</t>
        </is>
      </c>
      <c r="F1" s="1" t="inlineStr">
        <is>
          <t>Payload per Hull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Unnamed: 17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Import_CL</t>
        </is>
      </c>
      <c r="P2" t="inlineStr">
        <is>
          <t>Import_CL</t>
        </is>
      </c>
      <c r="Q2" t="inlineStr">
        <is>
          <t>Import_GBFS</t>
        </is>
      </c>
      <c r="R2" t="inlineStr">
        <is>
          <t>Import_GBFS</t>
        </is>
      </c>
    </row>
    <row r="3">
      <c r="A3" t="inlineStr">
        <is>
          <t>Route ID</t>
        </is>
      </c>
      <c r="B3" t="n">
        <v>1.01</v>
      </c>
      <c r="C3" t="n">
        <v>1.02</v>
      </c>
      <c r="D3" t="n">
        <v>1.03</v>
      </c>
      <c r="E3" t="n">
        <v>1.04</v>
      </c>
      <c r="F3" t="n">
        <v>1.05</v>
      </c>
      <c r="G3" t="n">
        <v>1.06</v>
      </c>
      <c r="H3" t="n">
        <v>1.07</v>
      </c>
      <c r="I3" t="n">
        <v>1.08</v>
      </c>
      <c r="J3" t="n">
        <v>1.09</v>
      </c>
      <c r="K3" t="n">
        <v>1.1</v>
      </c>
      <c r="L3" t="n">
        <v>2.01</v>
      </c>
      <c r="M3" t="n">
        <v>2.02</v>
      </c>
      <c r="N3" t="n">
        <v>2.03</v>
      </c>
      <c r="O3" t="n">
        <v>3.01</v>
      </c>
      <c r="P3" t="n">
        <v>3.02</v>
      </c>
      <c r="Q3" t="n">
        <v>4.01</v>
      </c>
      <c r="R3" t="n">
        <v>4.02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Import_CL</t>
        </is>
      </c>
      <c r="P4" t="inlineStr">
        <is>
          <t>Import_CL</t>
        </is>
      </c>
      <c r="Q4" t="inlineStr">
        <is>
          <t>Import_GBFS</t>
        </is>
      </c>
      <c r="R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CL</t>
        </is>
      </c>
      <c r="P5" t="inlineStr">
        <is>
          <t>CL</t>
        </is>
      </c>
      <c r="Q5" t="inlineStr">
        <is>
          <t>GBFS</t>
        </is>
      </c>
      <c r="R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CL_STORE</t>
        </is>
      </c>
      <c r="P6" t="inlineStr">
        <is>
          <t>CL_STORE</t>
        </is>
      </c>
      <c r="Q6" t="inlineStr">
        <is>
          <t>GBFS_STORE</t>
        </is>
      </c>
      <c r="R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Newcastle</t>
        </is>
      </c>
      <c r="N9" t="inlineStr">
        <is>
          <t>Osborne</t>
        </is>
      </c>
      <c r="O9" t="inlineStr">
        <is>
          <t>Bulwer Island</t>
        </is>
      </c>
      <c r="P9" t="inlineStr">
        <is>
          <t>Port Kembla</t>
        </is>
      </c>
      <c r="Q9" t="inlineStr">
        <is>
          <t>Bulwer Island</t>
        </is>
      </c>
      <c r="R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CL</t>
        </is>
      </c>
      <c r="P10" t="inlineStr">
        <is>
          <t>CL</t>
        </is>
      </c>
      <c r="Q10" t="inlineStr">
        <is>
          <t>GBFS</t>
        </is>
      </c>
      <c r="R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GP_STORE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CL_STORE_I</t>
        </is>
      </c>
      <c r="P11" t="inlineStr">
        <is>
          <t>CL_STORE_I</t>
        </is>
      </c>
      <c r="Q11" t="inlineStr">
        <is>
          <t>GBFS_STORE</t>
        </is>
      </c>
      <c r="R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K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F18" t="inlineStr">
        <is>
          <t>Melbourne</t>
        </is>
      </c>
      <c r="G18" t="inlineStr">
        <is>
          <t>Osborne</t>
        </is>
      </c>
      <c r="J18" t="inlineStr">
        <is>
          <t>Osborne</t>
        </is>
      </c>
      <c r="K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F19" t="inlineStr">
        <is>
          <t>FA</t>
        </is>
      </c>
      <c r="G19" t="inlineStr">
        <is>
          <t>FA</t>
        </is>
      </c>
      <c r="J19" t="inlineStr">
        <is>
          <t>FA</t>
        </is>
      </c>
      <c r="K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F20" t="inlineStr">
        <is>
          <t>FA_STORE</t>
        </is>
      </c>
      <c r="G20" t="inlineStr">
        <is>
          <t>FA_STORE</t>
        </is>
      </c>
      <c r="J20" t="inlineStr">
        <is>
          <t>FA_STORE</t>
        </is>
      </c>
      <c r="K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Gladstone</t>
        </is>
      </c>
      <c r="K21" t="inlineStr">
        <is>
          <t>Gladstone</t>
        </is>
      </c>
      <c r="L21" t="inlineStr">
        <is>
          <t>Devonport</t>
        </is>
      </c>
      <c r="M21" t="inlineStr">
        <is>
          <t>Devonport</t>
        </is>
      </c>
      <c r="N21" t="inlineStr">
        <is>
          <t>Devonport</t>
        </is>
      </c>
      <c r="O21" t="inlineStr">
        <is>
          <t>Import_CL</t>
        </is>
      </c>
      <c r="P21" t="inlineStr">
        <is>
          <t>Import_CL</t>
        </is>
      </c>
      <c r="Q21" t="inlineStr">
        <is>
          <t>Import_GBFS</t>
        </is>
      </c>
      <c r="R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  <c r="C15" t="n">
        <v>640</v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Osborne</t>
        </is>
      </c>
      <c r="B18" t="inlineStr">
        <is>
          <t>Port Kembla</t>
        </is>
      </c>
      <c r="C18" t="n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s="2" t="n">
        <v>46008.58989672302</v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s="2" t="n">
        <v>46008.58989725262</v>
      </c>
      <c r="B3" t="inlineStr">
        <is>
          <t>read_network</t>
        </is>
      </c>
      <c r="C3" t="inlineStr">
        <is>
          <t>rows=108 from Model Inputs.xlsx</t>
        </is>
      </c>
    </row>
    <row r="4">
      <c r="A4" s="2" t="n">
        <v>46008.58989752091</v>
      </c>
      <c r="B4" t="inlineStr">
        <is>
          <t>copy_sheet_found</t>
        </is>
      </c>
      <c r="C4" t="inlineStr">
        <is>
          <t>Settings -&gt; Settings, rows=3</t>
        </is>
      </c>
    </row>
    <row r="5">
      <c r="A5" s="2" t="n">
        <v>46008.58989784846</v>
      </c>
      <c r="B5" t="inlineStr">
        <is>
          <t>copy_sheet_found</t>
        </is>
      </c>
      <c r="C5" t="inlineStr">
        <is>
          <t>Make -&gt; Make, rows=13</t>
        </is>
      </c>
    </row>
    <row r="6">
      <c r="A6" s="2" t="n">
        <v>46008.58989820884</v>
      </c>
      <c r="B6" t="inlineStr">
        <is>
          <t>copy_sheet_found</t>
        </is>
      </c>
      <c r="C6" t="inlineStr">
        <is>
          <t>Store -&gt; Store, rows=34</t>
        </is>
      </c>
    </row>
    <row r="7">
      <c r="A7" s="2" t="n">
        <v>46008.58989863598</v>
      </c>
      <c r="B7" t="inlineStr">
        <is>
          <t>copy_sheet_found</t>
        </is>
      </c>
      <c r="C7" t="inlineStr">
        <is>
          <t>Deliver -&gt; Deliver, rows=22</t>
        </is>
      </c>
    </row>
    <row r="8">
      <c r="A8" s="2" t="n">
        <v>46008.58989902343</v>
      </c>
      <c r="B8" t="inlineStr">
        <is>
          <t>copy_sheet_missing</t>
        </is>
      </c>
      <c r="C8" t="inlineStr">
        <is>
          <t>Delivery not present; skipping</t>
        </is>
      </c>
    </row>
    <row r="9">
      <c r="A9" s="2" t="n">
        <v>46008.58989931508</v>
      </c>
      <c r="B9" t="inlineStr">
        <is>
          <t>copy_sheet_missing</t>
        </is>
      </c>
      <c r="C9" t="inlineStr">
        <is>
          <t>Berths not present; skipping</t>
        </is>
      </c>
    </row>
    <row r="10">
      <c r="A10" s="2" t="n">
        <v>46008.58989961757</v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s="2" t="n">
        <v>46008.58989989907</v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s="2" t="n">
        <v>46008.58990021119</v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s="2" t="n">
        <v>46008.5899005241</v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s="2" t="n">
        <v>46008.58990084221</v>
      </c>
      <c r="B14" t="inlineStr">
        <is>
          <t>copy_sheet_found</t>
        </is>
      </c>
      <c r="C14" t="inlineStr">
        <is>
          <t>SHIP_DISTANCES -&gt; SHIP_DISTANCES, rows=17</t>
        </is>
      </c>
    </row>
    <row r="15">
      <c r="A15" s="2" t="n">
        <v>46008.5899011734</v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s="2" t="n">
        <v>46008.5899011885</v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s="2" t="n">
        <v>46008.58990122036</v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s="2" t="n">
        <v>46008.58990129185</v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s="2" t="n">
        <v>46008.58990131621</v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s="2" t="n">
        <v>46008.58990135855</v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s="2" t="n">
        <v>46008.58990138239</v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s="2" t="n">
        <v>46008.58990140093</v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s="2" t="n">
        <v>46008.58990147286</v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s="2" t="n">
        <v>46008.58990148849</v>
      </c>
      <c r="B24" t="inlineStr">
        <is>
          <t>write_sheet</t>
        </is>
      </c>
      <c r="C24" t="inlineStr">
        <is>
          <t>SHIP_DISTANCES rows=17 -&gt; generated_model_inputs.xlsx</t>
        </is>
      </c>
    </row>
    <row r="25">
      <c r="A25" s="2" t="n">
        <v>46008.58990677942</v>
      </c>
      <c r="B25" t="inlineStr">
        <is>
          <t>ensure_settings_sheet</t>
        </is>
      </c>
      <c r="C25" t="inlineStr">
        <is>
          <t>added=0, updated=0</t>
        </is>
      </c>
    </row>
    <row r="26">
      <c r="A26" s="2" t="n">
        <v>46008.58991053475</v>
      </c>
      <c r="B26" t="inlineStr">
        <is>
          <t>ensure_make_sheet</t>
        </is>
      </c>
      <c r="C26" t="inlineStr">
        <is>
          <t>rows_added=0</t>
        </is>
      </c>
    </row>
    <row r="27">
      <c r="A27" s="2" t="n">
        <v>46008.58991472355</v>
      </c>
      <c r="B27" t="inlineStr">
        <is>
          <t>ensure_store_sheet</t>
        </is>
      </c>
      <c r="C27" t="inlineStr">
        <is>
          <t>rows_added=0</t>
        </is>
      </c>
    </row>
    <row r="28">
      <c r="A28" s="2" t="n">
        <v>46008.58991864014</v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s="2" t="n">
        <v>46008.58992245919</v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s="2" t="n">
        <v>46008.5899281735</v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s="2" t="n">
        <v>46008.58993196433</v>
      </c>
      <c r="B31" t="inlineStr">
        <is>
          <t>ensure_ship_berths_sheet</t>
        </is>
      </c>
      <c r="C31" t="inlineStr">
        <is>
          <t>rows_added=0</t>
        </is>
      </c>
    </row>
    <row r="32">
      <c r="A32" s="2" t="n">
        <v>46008.58993516661</v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s="2" t="n">
        <v>46008.58993844926</v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E27255AB-8763-405E-B6D2-0A3C33FA4378}"/>
</file>

<file path=customXml/itemProps2.xml><?xml version="1.0" encoding="utf-8"?>
<ds:datastoreItem xmlns:ds="http://schemas.openxmlformats.org/officeDocument/2006/customXml" ds:itemID="{5AE4579D-F0D4-4F5B-94BA-C9B5106EA546}"/>
</file>

<file path=customXml/itemProps3.xml><?xml version="1.0" encoding="utf-8"?>
<ds:datastoreItem xmlns:ds="http://schemas.openxmlformats.org/officeDocument/2006/customXml" ds:itemID="{2E06BFF3-D3AD-49DA-9603-7DC5A5B0D5C7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2025-12-17T04:09:27Z</dcterms:created>
  <dcterms:modified xsi:type="dcterms:W3CDTF">2025-12-17T04:09:30Z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