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"/>
    </mc:Choice>
  </mc:AlternateContent>
  <xr:revisionPtr revIDLastSave="104" documentId="11_7E30707003E61F287CED5B5C218205197063C565" xr6:coauthVersionLast="47" xr6:coauthVersionMax="47" xr10:uidLastSave="{DDE961E7-1EF2-43F9-B565-14A44B659739}"/>
  <bookViews>
    <workbookView xWindow="28680" yWindow="-120" windowWidth="29040" windowHeight="17520" activeTab="1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</sheets>
  <definedNames>
    <definedName name="_xlnm._FilterDatabase" localSheetId="1" hidden="1">Network!$A$1:$J$66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1" i="2" l="1" a="1"/>
  <c r="A61" i="2" s="1"/>
  <c r="A60" i="2" a="1"/>
  <c r="A60" i="2" s="1"/>
  <c r="A56" i="2" a="1"/>
  <c r="A56" i="2" s="1"/>
  <c r="A57" i="2" s="1" a="1"/>
  <c r="A57" i="2" s="1"/>
  <c r="A48" i="2" a="1"/>
  <c r="A48" i="2" s="1"/>
  <c r="A49" i="2" s="1" a="1"/>
  <c r="A49" i="2" s="1"/>
  <c r="A50" i="2" s="1" a="1"/>
  <c r="A50" i="2" s="1"/>
  <c r="A51" i="2" s="1" a="1"/>
  <c r="A51" i="2" s="1"/>
  <c r="A52" i="2" s="1" a="1"/>
  <c r="A52" i="2" s="1"/>
  <c r="A53" i="2" s="1" a="1"/>
  <c r="A53" i="2" s="1"/>
  <c r="A54" i="2" s="1" a="1"/>
  <c r="A54" i="2" s="1"/>
  <c r="A55" i="2" s="1" a="1"/>
  <c r="A55" i="2" s="1"/>
  <c r="A39" i="2" a="1"/>
  <c r="A39" i="2" s="1"/>
  <c r="A40" i="2" s="1" a="1"/>
  <c r="A40" i="2" s="1"/>
  <c r="A41" i="2" s="1" a="1"/>
  <c r="A41" i="2" s="1"/>
  <c r="A33" i="2" a="1"/>
  <c r="A33" i="2" s="1"/>
  <c r="A34" i="2" s="1" a="1"/>
  <c r="A34" i="2" s="1"/>
  <c r="A35" i="2" s="1" a="1"/>
  <c r="A35" i="2" s="1"/>
  <c r="A36" i="2" s="1" a="1"/>
  <c r="A36" i="2" s="1"/>
  <c r="A37" i="2" s="1" a="1"/>
  <c r="A37" i="2" s="1"/>
  <c r="A38" i="2" s="1" a="1"/>
  <c r="A38" i="2" s="1"/>
  <c r="A66" i="2" s="1" a="1"/>
  <c r="A66" i="2" s="1"/>
  <c r="A32" i="2" a="1"/>
  <c r="A32" i="2" s="1"/>
  <c r="A27" i="2" a="1"/>
  <c r="A27" i="2" s="1"/>
  <c r="A28" i="2" s="1" a="1"/>
  <c r="A28" i="2" s="1"/>
  <c r="A26" i="2" a="1"/>
  <c r="A26" i="2" s="1"/>
  <c r="A62" i="2" s="1" a="1"/>
  <c r="A62" i="2" s="1"/>
  <c r="A63" i="2" s="1" a="1"/>
  <c r="A63" i="2" s="1"/>
  <c r="A64" i="2" s="1" a="1"/>
  <c r="A64" i="2" s="1"/>
  <c r="A65" i="2" s="1" a="1"/>
  <c r="A65" i="2" s="1"/>
  <c r="A25" i="2" a="1"/>
  <c r="A25" i="2" s="1"/>
  <c r="A29" i="2" s="1" a="1"/>
  <c r="A29" i="2" s="1"/>
  <c r="A30" i="2" s="1" a="1"/>
  <c r="A30" i="2" s="1"/>
  <c r="A31" i="2" s="1" a="1"/>
  <c r="A31" i="2" s="1"/>
  <c r="A24" i="2" a="1"/>
  <c r="A24" i="2" s="1"/>
  <c r="A9" i="2" a="1"/>
  <c r="A9" i="2" s="1"/>
  <c r="A5" i="2" a="1"/>
  <c r="A5" i="2" s="1"/>
  <c r="A6" i="2" s="1" a="1"/>
  <c r="A6" i="2" s="1"/>
  <c r="A7" i="2" s="1" a="1"/>
  <c r="A7" i="2" s="1"/>
  <c r="A8" i="2" s="1" a="1"/>
  <c r="A8" i="2" s="1"/>
  <c r="A4" i="2" a="1"/>
  <c r="A4" i="2" s="1"/>
  <c r="A3" i="2" a="1"/>
  <c r="A3" i="2" s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2" i="2"/>
  <c r="M41" i="2"/>
  <c r="L41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0" i="2"/>
  <c r="L40" i="2"/>
  <c r="M43" i="2"/>
  <c r="L43" i="2"/>
  <c r="M42" i="2"/>
  <c r="L42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A10" i="2" l="1" a="1"/>
  <c r="A10" i="2" s="1"/>
  <c r="A11" i="2" s="1" a="1"/>
  <c r="A11" i="2" s="1"/>
  <c r="A12" i="2" s="1" a="1"/>
  <c r="A12" i="2" s="1"/>
  <c r="A13" i="2" s="1" a="1"/>
  <c r="A13" i="2" s="1"/>
  <c r="A14" i="2" s="1" a="1"/>
  <c r="A14" i="2" s="1"/>
  <c r="A15" i="2" s="1" a="1"/>
  <c r="A15" i="2" s="1"/>
  <c r="A43" i="2" a="1"/>
  <c r="A43" i="2" s="1"/>
  <c r="A44" i="2" s="1" a="1"/>
  <c r="A44" i="2" s="1"/>
  <c r="A45" i="2" s="1" a="1"/>
  <c r="A45" i="2" s="1"/>
  <c r="A46" i="2" s="1" a="1"/>
  <c r="A46" i="2" s="1"/>
  <c r="A47" i="2" s="1" a="1"/>
  <c r="A47" i="2" s="1"/>
  <c r="A42" i="2" a="1"/>
  <c r="A42" i="2" s="1"/>
  <c r="A58" i="2" a="1"/>
  <c r="A58" i="2" s="1"/>
  <c r="A59" i="2" a="1"/>
  <c r="A59" i="2" s="1"/>
  <c r="N10" i="2"/>
  <c r="N41" i="2"/>
  <c r="N61" i="2"/>
  <c r="N34" i="2"/>
  <c r="N18" i="2"/>
  <c r="N11" i="2"/>
  <c r="N12" i="2"/>
  <c r="N3" i="2"/>
  <c r="N51" i="2"/>
  <c r="N19" i="2"/>
  <c r="N60" i="2"/>
  <c r="N20" i="2"/>
  <c r="N13" i="2"/>
  <c r="N37" i="2"/>
  <c r="N7" i="2"/>
  <c r="N38" i="2"/>
  <c r="N55" i="2"/>
  <c r="N63" i="2"/>
  <c r="N52" i="2"/>
  <c r="N36" i="2"/>
  <c r="N6" i="2"/>
  <c r="N46" i="2"/>
  <c r="N22" i="2"/>
  <c r="N8" i="2"/>
  <c r="N31" i="2"/>
  <c r="N64" i="2"/>
  <c r="N24" i="2"/>
  <c r="N42" i="2"/>
  <c r="N49" i="2"/>
  <c r="N57" i="2"/>
  <c r="N27" i="2"/>
  <c r="N5" i="2"/>
  <c r="N54" i="2"/>
  <c r="N14" i="2"/>
  <c r="N15" i="2"/>
  <c r="N56" i="2"/>
  <c r="N16" i="2"/>
  <c r="N32" i="2"/>
  <c r="N17" i="2"/>
  <c r="N65" i="2"/>
  <c r="N4" i="2"/>
  <c r="N35" i="2"/>
  <c r="N21" i="2"/>
  <c r="N47" i="2"/>
  <c r="N39" i="2"/>
  <c r="N50" i="2"/>
  <c r="N44" i="2"/>
  <c r="N53" i="2"/>
  <c r="N29" i="2"/>
  <c r="N62" i="2"/>
  <c r="N30" i="2"/>
  <c r="N23" i="2"/>
  <c r="N48" i="2"/>
  <c r="N2" i="2"/>
  <c r="N33" i="2"/>
  <c r="N66" i="2"/>
  <c r="N28" i="2"/>
  <c r="N9" i="2"/>
  <c r="N25" i="2"/>
  <c r="N58" i="2"/>
  <c r="N43" i="2"/>
  <c r="N45" i="2"/>
  <c r="N40" i="2"/>
  <c r="N59" i="2"/>
  <c r="N26" i="2"/>
  <c r="A17" i="2" l="1" a="1"/>
  <c r="A17" i="2" s="1"/>
  <c r="A18" i="2" s="1" a="1"/>
  <c r="A18" i="2" s="1"/>
  <c r="A16" i="2" a="1"/>
  <c r="A16" i="2" s="1"/>
  <c r="A20" i="2" l="1" a="1"/>
  <c r="A20" i="2" s="1"/>
  <c r="A19" i="2" a="1"/>
  <c r="A19" i="2" s="1"/>
  <c r="A21" i="2" a="1"/>
  <c r="A21" i="2" s="1"/>
  <c r="A22" i="2" s="1" a="1"/>
  <c r="A22" i="2" s="1"/>
  <c r="A23" i="2" a="1"/>
  <c r="A2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<sst xmlns="http://schemas.openxmlformats.org/spreadsheetml/2006/main" count="655" uniqueCount="57">
  <si>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</si>
  <si>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</si>
  <si>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</si>
  <si>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</si>
  <si>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</si>
  <si>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</si>
  <si>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</si>
  <si>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</si>
  <si>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</si>
  <si>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</si>
  <si>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</si>
  <si>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</si>
  <si>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</si>
  <si>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</si>
  <si>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</si>
  <si>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</si>
  <si>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</si>
  <si>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</si>
  <si>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</si>
  <si>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</si>
  <si>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</si>
  <si>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</si>
  <si>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</si>
  <si>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</si>
  <si>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</si>
  <si>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</si>
  <si>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</si>
  <si>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</si>
  <si>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</si>
  <si>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CM1</t>
  </si>
  <si>
    <t>CM2</t>
  </si>
  <si>
    <t>Bulwer Island</t>
  </si>
  <si>
    <t>GP_STORE</t>
  </si>
  <si>
    <t>CM3</t>
  </si>
  <si>
    <t>CM4</t>
  </si>
  <si>
    <t>Deliver</t>
  </si>
  <si>
    <t>TRUCK</t>
  </si>
  <si>
    <t>TRAIN</t>
  </si>
  <si>
    <t>Townsville</t>
  </si>
  <si>
    <t>Port Kembla</t>
  </si>
  <si>
    <t>Newcastle</t>
  </si>
  <si>
    <t>Mackay</t>
  </si>
  <si>
    <t>Albury</t>
  </si>
  <si>
    <t>Wagga</t>
  </si>
  <si>
    <t>Import</t>
  </si>
  <si>
    <t>CL_STORE_I</t>
  </si>
  <si>
    <t>CM9</t>
  </si>
  <si>
    <t>CM10</t>
  </si>
  <si>
    <t>Railton</t>
  </si>
  <si>
    <t>R1</t>
  </si>
  <si>
    <t>Davenport</t>
  </si>
  <si>
    <t>Melbourne</t>
  </si>
  <si>
    <t>Osborn</t>
  </si>
  <si>
    <t>Mean Production Rate (Tons/hr)</t>
  </si>
  <si>
    <t>Std Dev of Production Rate (Tons/Hr)</t>
  </si>
  <si>
    <t>Planned Maintenance Dates (Days of year)</t>
  </si>
  <si>
    <t>Unplanned downtime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</si>
</sst>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5" sqref="C5"/>
    </sheetView>
  </sheetViews>
  <sheetFormatPr defaultRowHeight="15" x14ac:dyDescent="0.25"/>
  <cols>
    <col min="1" max="1" width="35.140625" bestFit="1" customWidth="1"/>
    <col min="2" max="2" width="6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6"/>
  <sheetViews>
    <sheetView tabSelected="1" workbookViewId="0">
      <selection activeCell="A42" sqref="A42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2" max="12" width="30" bestFit="1" customWidth="1"/>
    <col min="13" max="13" width="29.28515625" bestFit="1" customWidth="1"/>
  </cols>
  <sheetData>
    <row r="1" spans="1:15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L1" t="s">
        <v>16</v>
      </c>
      <c r="M1" t="s">
        <v>17</v>
      </c>
    </row>
    <row r="2" spans="1:15" x14ac:dyDescent="0.25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19</v>
      </c>
      <c r="J2" t="s">
        <v>25</v>
      </c>
      <c r="K2" t="s">
        <v>26</v>
      </c>
      <c r="L2" t="str">
        <f t="shared" ref="L2:L33" si="0">C2&amp;F2&amp;D2&amp;E2</f>
        <v>GladstoneMakeK2None</v>
      </c>
      <c r="M2" t="str">
        <f t="shared" ref="M2:M33" si="1">I2&amp;H2&amp;J2&amp;G2</f>
        <v>GladstoneStoreCL_STORECL</v>
      </c>
      <c r="N2">
        <f t="shared" ref="N2:N33" si="2">COUNTIFS(L:L,M2)</f>
        <v>3</v>
      </c>
      <c r="O2" t="str">
        <f>C2&amp;F2&amp;G2</f>
        <v>GladstoneMakeCL</v>
      </c>
    </row>
    <row r="3" spans="1:15" x14ac:dyDescent="0.25">
      <c r="A3" cm="1">
        <f t="array" ref="A3">IF(ISNA(_xlfn.XLOOKUP(O3,$O$2:O2,$A$2:A2)),IF(COUNTIFS($O$2:O3,O3)=1,IF(COUNTIFS($C$2:C2,C3)=0,1,A2+1),A2),_xlfn.XLOOKUP(O3,$O$2:O2,$A$2:A2))</f>
        <v>2</v>
      </c>
      <c r="B3" t="s">
        <v>18</v>
      </c>
      <c r="C3" t="s">
        <v>19</v>
      </c>
      <c r="D3" t="s">
        <v>25</v>
      </c>
      <c r="E3" t="s">
        <v>23</v>
      </c>
      <c r="F3" t="s">
        <v>24</v>
      </c>
      <c r="G3" t="s">
        <v>23</v>
      </c>
      <c r="H3" t="s">
        <v>27</v>
      </c>
      <c r="I3" t="s">
        <v>19</v>
      </c>
      <c r="J3" t="s">
        <v>28</v>
      </c>
      <c r="K3" t="s">
        <v>26</v>
      </c>
      <c r="L3" t="str">
        <f t="shared" si="0"/>
        <v>GladstoneStoreCL_STORECL</v>
      </c>
      <c r="M3" t="str">
        <f t="shared" si="1"/>
        <v>GladstoneMoveSHIPCL</v>
      </c>
      <c r="N3">
        <f t="shared" si="2"/>
        <v>1</v>
      </c>
      <c r="O3" t="str">
        <f t="shared" ref="O3:O66" si="3">C3&amp;F3&amp;G3</f>
        <v>GladstoneStoreCL</v>
      </c>
    </row>
    <row r="4" spans="1:15" x14ac:dyDescent="0.25">
      <c r="A4" cm="1">
        <f t="array" ref="A4">IF(ISNA(_xlfn.XLOOKUP(O4,$O$2:O3,$A$2:A3)),IF(COUNTIFS($O$2:O4,O4)=1,IF(COUNTIFS($C$2:C3,C4)=0,1,A3+1),A3),_xlfn.XLOOKUP(O4,$O$2:O3,$A$2:A3))</f>
        <v>2</v>
      </c>
      <c r="B4" t="s">
        <v>18</v>
      </c>
      <c r="C4" t="s">
        <v>19</v>
      </c>
      <c r="D4" t="s">
        <v>25</v>
      </c>
      <c r="E4" t="s">
        <v>23</v>
      </c>
      <c r="F4" t="s">
        <v>24</v>
      </c>
      <c r="G4" t="s">
        <v>23</v>
      </c>
      <c r="H4" t="s">
        <v>22</v>
      </c>
      <c r="I4" t="s">
        <v>19</v>
      </c>
      <c r="J4" t="s">
        <v>29</v>
      </c>
      <c r="K4" t="s">
        <v>26</v>
      </c>
      <c r="L4" t="str">
        <f t="shared" si="0"/>
        <v>GladstoneStoreCL_STORECL</v>
      </c>
      <c r="M4" t="str">
        <f t="shared" si="1"/>
        <v>GladstoneMakeCM1CL</v>
      </c>
      <c r="N4">
        <f t="shared" si="2"/>
        <v>1</v>
      </c>
      <c r="O4" t="str">
        <f t="shared" si="3"/>
        <v>GladstoneStoreCL</v>
      </c>
    </row>
    <row r="5" spans="1:15" x14ac:dyDescent="0.25">
      <c r="A5" cm="1">
        <f t="array" ref="A5">IF(ISNA(_xlfn.XLOOKUP(O5,$O$2:O4,$A$2:A4)),IF(COUNTIFS($O$2:O5,O5)=1,IF(COUNTIFS($C$2:C4,C5)=0,1,A4+1),A4),_xlfn.XLOOKUP(O5,$O$2:O4,$A$2:A4))</f>
        <v>2</v>
      </c>
      <c r="B5" t="s">
        <v>18</v>
      </c>
      <c r="C5" t="s">
        <v>19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19</v>
      </c>
      <c r="J5" t="s">
        <v>30</v>
      </c>
      <c r="K5" t="s">
        <v>26</v>
      </c>
      <c r="L5" t="str">
        <f t="shared" si="0"/>
        <v>GladstoneStoreCL_STORECL</v>
      </c>
      <c r="M5" t="str">
        <f t="shared" si="1"/>
        <v>GladstoneMakeCM2CL</v>
      </c>
      <c r="N5">
        <f t="shared" si="2"/>
        <v>1</v>
      </c>
      <c r="O5" t="str">
        <f t="shared" si="3"/>
        <v>GladstoneStoreCL</v>
      </c>
    </row>
    <row r="6" spans="1:15" x14ac:dyDescent="0.25">
      <c r="A6" cm="1">
        <f t="array" ref="A6">IF(ISNA(_xlfn.XLOOKUP(O6,$O$2:O5,$A$2:A5)),IF(COUNTIFS($O$2:O6,O6)=1,IF(COUNTIFS($C$2:C5,C6)=0,1,A5+1),A5),_xlfn.XLOOKUP(O6,$O$2:O5,$A$2:A5))</f>
        <v>3</v>
      </c>
      <c r="B6" t="s">
        <v>18</v>
      </c>
      <c r="C6" t="s">
        <v>19</v>
      </c>
      <c r="D6" t="s">
        <v>28</v>
      </c>
      <c r="E6" t="s">
        <v>23</v>
      </c>
      <c r="F6" t="s">
        <v>27</v>
      </c>
      <c r="G6" t="s">
        <v>23</v>
      </c>
      <c r="H6" t="s">
        <v>24</v>
      </c>
      <c r="I6" t="s">
        <v>31</v>
      </c>
      <c r="J6" t="s">
        <v>25</v>
      </c>
      <c r="K6" t="s">
        <v>26</v>
      </c>
      <c r="L6" t="str">
        <f t="shared" si="0"/>
        <v>GladstoneMoveSHIPCL</v>
      </c>
      <c r="M6" t="str">
        <f t="shared" si="1"/>
        <v>Bulwer IslandStoreCL_STORECL</v>
      </c>
      <c r="N6">
        <f t="shared" si="2"/>
        <v>2</v>
      </c>
      <c r="O6" t="str">
        <f t="shared" si="3"/>
        <v>GladstoneMoveCL</v>
      </c>
    </row>
    <row r="7" spans="1:15" x14ac:dyDescent="0.25">
      <c r="A7" cm="1">
        <f t="array" ref="A7">IF(ISNA(_xlfn.XLOOKUP(O7,$O$2:O6,$A$2:A6)),IF(COUNTIFS($O$2:O7,O7)=1,IF(COUNTIFS($C$2:C6,C7)=0,1,A6+1),A6),_xlfn.XLOOKUP(O7,$O$2:O6,$A$2:A6))</f>
        <v>4</v>
      </c>
      <c r="B7" t="s">
        <v>18</v>
      </c>
      <c r="C7" t="s">
        <v>19</v>
      </c>
      <c r="D7" t="s">
        <v>29</v>
      </c>
      <c r="E7" t="s">
        <v>23</v>
      </c>
      <c r="F7" t="s">
        <v>22</v>
      </c>
      <c r="G7" t="s">
        <v>18</v>
      </c>
      <c r="H7" t="s">
        <v>24</v>
      </c>
      <c r="I7" t="s">
        <v>19</v>
      </c>
      <c r="J7" t="s">
        <v>32</v>
      </c>
      <c r="K7" t="s">
        <v>26</v>
      </c>
      <c r="L7" t="str">
        <f t="shared" si="0"/>
        <v>GladstoneMakeCM1CL</v>
      </c>
      <c r="M7" t="str">
        <f t="shared" si="1"/>
        <v>GladstoneStoreGP_STOREGP</v>
      </c>
      <c r="N7">
        <f t="shared" si="2"/>
        <v>3</v>
      </c>
      <c r="O7" t="str">
        <f t="shared" si="3"/>
        <v>GladstoneMakeGP</v>
      </c>
    </row>
    <row r="8" spans="1:15" x14ac:dyDescent="0.25">
      <c r="A8" cm="1">
        <f t="array" ref="A8">IF(ISNA(_xlfn.XLOOKUP(O8,$O$2:O7,$A$2:A7)),IF(COUNTIFS($O$2:O8,O8)=1,IF(COUNTIFS($C$2:C7,C8)=0,1,A7+1),A7),_xlfn.XLOOKUP(O8,$O$2:O7,$A$2:A7))</f>
        <v>4</v>
      </c>
      <c r="B8" t="s">
        <v>18</v>
      </c>
      <c r="C8" t="s">
        <v>19</v>
      </c>
      <c r="D8" t="s">
        <v>30</v>
      </c>
      <c r="E8" t="s">
        <v>23</v>
      </c>
      <c r="F8" t="s">
        <v>22</v>
      </c>
      <c r="G8" t="s">
        <v>18</v>
      </c>
      <c r="H8" t="s">
        <v>24</v>
      </c>
      <c r="I8" t="s">
        <v>19</v>
      </c>
      <c r="J8" t="s">
        <v>32</v>
      </c>
      <c r="K8" t="s">
        <v>26</v>
      </c>
      <c r="L8" t="str">
        <f t="shared" si="0"/>
        <v>GladstoneMakeCM2CL</v>
      </c>
      <c r="M8" t="str">
        <f t="shared" si="1"/>
        <v>GladstoneStoreGP_STOREGP</v>
      </c>
      <c r="N8">
        <f t="shared" si="2"/>
        <v>3</v>
      </c>
      <c r="O8" t="str">
        <f t="shared" si="3"/>
        <v>GladstoneMakeGP</v>
      </c>
    </row>
    <row r="9" spans="1:15" x14ac:dyDescent="0.25">
      <c r="A9" cm="1">
        <f t="array" ref="A9">IF(ISNA(_xlfn.XLOOKUP(O9,$O$2:O8,$A$2:A8)),IF(COUNTIFS($O$2:O9,O9)=1,IF(COUNTIFS($C$2:C8,C9)=0,1,A8+1),A8),_xlfn.XLOOKUP(O9,$O$2:O8,$A$2:A8))</f>
        <v>1</v>
      </c>
      <c r="B9" t="s">
        <v>18</v>
      </c>
      <c r="C9" t="s">
        <v>31</v>
      </c>
      <c r="D9" t="s">
        <v>25</v>
      </c>
      <c r="E9" t="s">
        <v>23</v>
      </c>
      <c r="F9" t="s">
        <v>24</v>
      </c>
      <c r="G9" t="s">
        <v>23</v>
      </c>
      <c r="H9" t="s">
        <v>22</v>
      </c>
      <c r="I9" t="s">
        <v>31</v>
      </c>
      <c r="J9" t="s">
        <v>33</v>
      </c>
      <c r="K9" t="s">
        <v>26</v>
      </c>
      <c r="L9" t="str">
        <f t="shared" si="0"/>
        <v>Bulwer IslandStoreCL_STORECL</v>
      </c>
      <c r="M9" t="str">
        <f t="shared" si="1"/>
        <v>Bulwer IslandMakeCM3CL</v>
      </c>
      <c r="N9">
        <f t="shared" si="2"/>
        <v>1</v>
      </c>
      <c r="O9" t="str">
        <f t="shared" si="3"/>
        <v>Bulwer IslandStoreCL</v>
      </c>
    </row>
    <row r="10" spans="1:15" x14ac:dyDescent="0.25">
      <c r="A10" cm="1">
        <f t="array" ref="A10">IF(ISNA(_xlfn.XLOOKUP(O10,$O$2:O9,$A$2:A9)),IF(COUNTIFS($O$2:O10,O10)=1,IF(COUNTIFS($C$2:C9,C10)=0,1,A9+1),A9),_xlfn.XLOOKUP(O10,$O$2:O9,$A$2:A9))</f>
        <v>1</v>
      </c>
      <c r="B10" t="s">
        <v>18</v>
      </c>
      <c r="C10" t="s">
        <v>31</v>
      </c>
      <c r="D10" t="s">
        <v>25</v>
      </c>
      <c r="E10" t="s">
        <v>23</v>
      </c>
      <c r="F10" t="s">
        <v>24</v>
      </c>
      <c r="G10" t="s">
        <v>23</v>
      </c>
      <c r="H10" t="s">
        <v>22</v>
      </c>
      <c r="I10" t="s">
        <v>31</v>
      </c>
      <c r="J10" t="s">
        <v>34</v>
      </c>
      <c r="K10" t="s">
        <v>26</v>
      </c>
      <c r="L10" t="str">
        <f t="shared" si="0"/>
        <v>Bulwer IslandStoreCL_STORECL</v>
      </c>
      <c r="M10" t="str">
        <f t="shared" si="1"/>
        <v>Bulwer IslandMakeCM4CL</v>
      </c>
      <c r="N10">
        <f t="shared" si="2"/>
        <v>1</v>
      </c>
      <c r="O10" t="str">
        <f t="shared" si="3"/>
        <v>Bulwer IslandStoreCL</v>
      </c>
    </row>
    <row r="11" spans="1:15" x14ac:dyDescent="0.25">
      <c r="A11" cm="1">
        <f t="array" ref="A11">IF(ISNA(_xlfn.XLOOKUP(O11,$O$2:O10,$A$2:A10)),IF(COUNTIFS($O$2:O11,O11)=1,IF(COUNTIFS($C$2:C10,C11)=0,1,A10+1),A10),_xlfn.XLOOKUP(O11,$O$2:O10,$A$2:A10))</f>
        <v>2</v>
      </c>
      <c r="B11" t="s">
        <v>18</v>
      </c>
      <c r="C11" t="s">
        <v>31</v>
      </c>
      <c r="D11" t="s">
        <v>33</v>
      </c>
      <c r="E11" t="s">
        <v>23</v>
      </c>
      <c r="F11" t="s">
        <v>22</v>
      </c>
      <c r="G11" t="s">
        <v>18</v>
      </c>
      <c r="H11" t="s">
        <v>24</v>
      </c>
      <c r="I11" t="s">
        <v>31</v>
      </c>
      <c r="J11" t="s">
        <v>32</v>
      </c>
      <c r="K11" t="s">
        <v>26</v>
      </c>
      <c r="L11" t="str">
        <f t="shared" si="0"/>
        <v>Bulwer IslandMakeCM3CL</v>
      </c>
      <c r="M11" t="str">
        <f t="shared" si="1"/>
        <v>Bulwer IslandStoreGP_STOREGP</v>
      </c>
      <c r="N11">
        <f t="shared" si="2"/>
        <v>1</v>
      </c>
      <c r="O11" t="str">
        <f t="shared" si="3"/>
        <v>Bulwer IslandMakeGP</v>
      </c>
    </row>
    <row r="12" spans="1:15" x14ac:dyDescent="0.25">
      <c r="A12" cm="1">
        <f t="array" ref="A12">IF(ISNA(_xlfn.XLOOKUP(O12,$O$2:O11,$A$2:A11)),IF(COUNTIFS($O$2:O12,O12)=1,IF(COUNTIFS($C$2:C11,C12)=0,1,A11+1),A11),_xlfn.XLOOKUP(O12,$O$2:O11,$A$2:A11))</f>
        <v>2</v>
      </c>
      <c r="B12" t="s">
        <v>18</v>
      </c>
      <c r="C12" t="s">
        <v>31</v>
      </c>
      <c r="D12" t="s">
        <v>34</v>
      </c>
      <c r="E12" t="s">
        <v>23</v>
      </c>
      <c r="F12" t="s">
        <v>22</v>
      </c>
      <c r="G12" t="s">
        <v>18</v>
      </c>
      <c r="H12" t="s">
        <v>24</v>
      </c>
      <c r="I12" t="s">
        <v>31</v>
      </c>
      <c r="J12" t="s">
        <v>32</v>
      </c>
      <c r="K12" t="s">
        <v>26</v>
      </c>
      <c r="L12" t="str">
        <f t="shared" si="0"/>
        <v>Bulwer IslandMakeCM4CL</v>
      </c>
      <c r="M12" t="str">
        <f t="shared" si="1"/>
        <v>Bulwer IslandStoreGP_STOREGP</v>
      </c>
      <c r="N12">
        <f t="shared" si="2"/>
        <v>1</v>
      </c>
      <c r="O12" t="str">
        <f t="shared" si="3"/>
        <v>Bulwer IslandMakeGP</v>
      </c>
    </row>
    <row r="13" spans="1:15" x14ac:dyDescent="0.25">
      <c r="A13" cm="1">
        <f t="array" ref="A13">IF(ISNA(_xlfn.XLOOKUP(O13,$O$2:O12,$A$2:A12)),IF(COUNTIFS($O$2:O13,O13)=1,IF(COUNTIFS($C$2:C12,C13)=0,1,A12+1),A12),_xlfn.XLOOKUP(O13,$O$2:O12,$A$2:A12))</f>
        <v>3</v>
      </c>
      <c r="B13" t="s">
        <v>18</v>
      </c>
      <c r="C13" t="s">
        <v>31</v>
      </c>
      <c r="D13" t="s">
        <v>32</v>
      </c>
      <c r="E13" t="s">
        <v>18</v>
      </c>
      <c r="F13" t="s">
        <v>24</v>
      </c>
      <c r="G13" t="s">
        <v>18</v>
      </c>
      <c r="H13" t="s">
        <v>35</v>
      </c>
      <c r="I13" t="s">
        <v>31</v>
      </c>
      <c r="J13" t="s">
        <v>36</v>
      </c>
      <c r="K13" t="s">
        <v>26</v>
      </c>
      <c r="L13" t="str">
        <f t="shared" si="0"/>
        <v>Bulwer IslandStoreGP_STOREGP</v>
      </c>
      <c r="M13" t="str">
        <f t="shared" si="1"/>
        <v>Bulwer IslandDeliverTRUCKGP</v>
      </c>
      <c r="N13">
        <f t="shared" si="2"/>
        <v>1</v>
      </c>
      <c r="O13" t="str">
        <f t="shared" si="3"/>
        <v>Bulwer IslandStoreGP</v>
      </c>
    </row>
    <row r="14" spans="1:15" x14ac:dyDescent="0.25">
      <c r="A14" cm="1">
        <f t="array" ref="A14">IF(ISNA(_xlfn.XLOOKUP(O14,$O$2:O13,$A$2:A13)),IF(COUNTIFS($O$2:O14,O14)=1,IF(COUNTIFS($C$2:C13,C14)=0,1,A13+1),A13),_xlfn.XLOOKUP(O14,$O$2:O13,$A$2:A13))</f>
        <v>4</v>
      </c>
      <c r="B14" t="s">
        <v>18</v>
      </c>
      <c r="C14" t="s">
        <v>31</v>
      </c>
      <c r="D14" t="s">
        <v>36</v>
      </c>
      <c r="E14" t="s">
        <v>18</v>
      </c>
      <c r="F14" t="s">
        <v>35</v>
      </c>
      <c r="G14" t="s">
        <v>18</v>
      </c>
      <c r="H14" t="s">
        <v>21</v>
      </c>
      <c r="K14" t="s">
        <v>26</v>
      </c>
      <c r="L14" t="str">
        <f t="shared" si="0"/>
        <v>Bulwer IslandDeliverTRUCKGP</v>
      </c>
      <c r="M14" t="str">
        <f t="shared" si="1"/>
        <v>NoneGP</v>
      </c>
      <c r="N14">
        <f t="shared" si="2"/>
        <v>0</v>
      </c>
      <c r="O14" t="str">
        <f t="shared" si="3"/>
        <v>Bulwer IslandDeliverGP</v>
      </c>
    </row>
    <row r="15" spans="1:15" x14ac:dyDescent="0.25">
      <c r="A15" cm="1">
        <f t="array" ref="A15">IF(ISNA(_xlfn.XLOOKUP(O15,$O$2:O14,$A$2:A14)),IF(COUNTIFS($O$2:O15,O15)=1,IF(COUNTIFS($C$2:C14,C15)=0,1,A14+1),A14),_xlfn.XLOOKUP(O15,$O$2:O14,$A$2:A14))</f>
        <v>5</v>
      </c>
      <c r="B15" t="s">
        <v>18</v>
      </c>
      <c r="C15" t="s">
        <v>19</v>
      </c>
      <c r="D15" t="s">
        <v>32</v>
      </c>
      <c r="E15" t="s">
        <v>18</v>
      </c>
      <c r="F15" t="s">
        <v>24</v>
      </c>
      <c r="G15" t="s">
        <v>18</v>
      </c>
      <c r="H15" t="s">
        <v>35</v>
      </c>
      <c r="I15" t="s">
        <v>19</v>
      </c>
      <c r="J15" t="s">
        <v>36</v>
      </c>
      <c r="K15" t="s">
        <v>26</v>
      </c>
      <c r="L15" t="str">
        <f t="shared" si="0"/>
        <v>GladstoneStoreGP_STOREGP</v>
      </c>
      <c r="M15" t="str">
        <f t="shared" si="1"/>
        <v>GladstoneDeliverTRUCKGP</v>
      </c>
      <c r="N15">
        <f t="shared" si="2"/>
        <v>1</v>
      </c>
      <c r="O15" t="str">
        <f t="shared" si="3"/>
        <v>GladstoneStoreGP</v>
      </c>
    </row>
    <row r="16" spans="1:15" x14ac:dyDescent="0.25">
      <c r="A16" cm="1">
        <f t="array" ref="A16">IF(ISNA(_xlfn.XLOOKUP(O16,$O$2:O15,$A$2:A15)),IF(COUNTIFS($O$2:O16,O16)=1,IF(COUNTIFS($C$2:C15,C16)=0,1,A15+1),A15),_xlfn.XLOOKUP(O16,$O$2:O15,$A$2:A15))</f>
        <v>5</v>
      </c>
      <c r="B16" t="s">
        <v>18</v>
      </c>
      <c r="C16" t="s">
        <v>19</v>
      </c>
      <c r="D16" t="s">
        <v>32</v>
      </c>
      <c r="E16" t="s">
        <v>18</v>
      </c>
      <c r="F16" t="s">
        <v>24</v>
      </c>
      <c r="G16" t="s">
        <v>18</v>
      </c>
      <c r="H16" t="s">
        <v>27</v>
      </c>
      <c r="I16" t="s">
        <v>19</v>
      </c>
      <c r="J16" t="s">
        <v>37</v>
      </c>
      <c r="K16" t="s">
        <v>26</v>
      </c>
      <c r="L16" t="str">
        <f t="shared" si="0"/>
        <v>GladstoneStoreGP_STOREGP</v>
      </c>
      <c r="M16" t="str">
        <f t="shared" si="1"/>
        <v>GladstoneMoveTRAINGP</v>
      </c>
      <c r="N16">
        <f t="shared" si="2"/>
        <v>1</v>
      </c>
      <c r="O16" t="str">
        <f t="shared" si="3"/>
        <v>GladstoneStoreGP</v>
      </c>
    </row>
    <row r="17" spans="1:15" x14ac:dyDescent="0.25">
      <c r="A17" cm="1">
        <f t="array" ref="A17">IF(ISNA(_xlfn.XLOOKUP(O17,$O$2:O16,$A$2:A16)),IF(COUNTIFS($O$2:O17,O17)=1,IF(COUNTIFS($C$2:C16,C17)=0,1,A16+1),A16),_xlfn.XLOOKUP(O17,$O$2:O16,$A$2:A16))</f>
        <v>5</v>
      </c>
      <c r="B17" t="s">
        <v>18</v>
      </c>
      <c r="C17" t="s">
        <v>19</v>
      </c>
      <c r="D17" t="s">
        <v>32</v>
      </c>
      <c r="E17" t="s">
        <v>18</v>
      </c>
      <c r="F17" t="s">
        <v>24</v>
      </c>
      <c r="G17" t="s">
        <v>18</v>
      </c>
      <c r="H17" t="s">
        <v>27</v>
      </c>
      <c r="I17" t="s">
        <v>19</v>
      </c>
      <c r="J17" t="s">
        <v>28</v>
      </c>
      <c r="K17" t="s">
        <v>26</v>
      </c>
      <c r="L17" t="str">
        <f t="shared" si="0"/>
        <v>GladstoneStoreGP_STOREGP</v>
      </c>
      <c r="M17" t="str">
        <f t="shared" si="1"/>
        <v>GladstoneMoveSHIPGP</v>
      </c>
      <c r="N17">
        <f t="shared" si="2"/>
        <v>4</v>
      </c>
      <c r="O17" t="str">
        <f t="shared" si="3"/>
        <v>GladstoneStoreGP</v>
      </c>
    </row>
    <row r="18" spans="1:15" x14ac:dyDescent="0.25">
      <c r="A18" cm="1">
        <f t="array" ref="A18">IF(ISNA(_xlfn.XLOOKUP(O18,$O$2:O17,$A$2:A17)),IF(COUNTIFS($O$2:O18,O18)=1,IF(COUNTIFS($C$2:C17,C18)=0,1,A17+1),A17),_xlfn.XLOOKUP(O18,$O$2:O17,$A$2:A17))</f>
        <v>6</v>
      </c>
      <c r="B18" t="s">
        <v>18</v>
      </c>
      <c r="C18" t="s">
        <v>19</v>
      </c>
      <c r="D18" t="s">
        <v>28</v>
      </c>
      <c r="E18" t="s">
        <v>18</v>
      </c>
      <c r="F18" t="s">
        <v>27</v>
      </c>
      <c r="G18" t="s">
        <v>18</v>
      </c>
      <c r="H18" t="s">
        <v>24</v>
      </c>
      <c r="I18" t="s">
        <v>38</v>
      </c>
      <c r="J18" t="s">
        <v>32</v>
      </c>
      <c r="K18" t="s">
        <v>26</v>
      </c>
      <c r="L18" t="str">
        <f t="shared" si="0"/>
        <v>GladstoneMoveSHIPGP</v>
      </c>
      <c r="M18" t="str">
        <f t="shared" si="1"/>
        <v>TownsvilleStoreGP_STOREGP</v>
      </c>
      <c r="N18">
        <f t="shared" si="2"/>
        <v>1</v>
      </c>
      <c r="O18" t="str">
        <f t="shared" si="3"/>
        <v>GladstoneMoveGP</v>
      </c>
    </row>
    <row r="19" spans="1:15" x14ac:dyDescent="0.25">
      <c r="A19" cm="1">
        <f t="array" ref="A19">IF(ISNA(_xlfn.XLOOKUP(O19,$O$2:O18,$A$2:A18)),IF(COUNTIFS($O$2:O19,O19)=1,IF(COUNTIFS($C$2:C18,C19)=0,1,A18+1),A18),_xlfn.XLOOKUP(O19,$O$2:O18,$A$2:A18))</f>
        <v>6</v>
      </c>
      <c r="B19" t="s">
        <v>18</v>
      </c>
      <c r="C19" t="s">
        <v>19</v>
      </c>
      <c r="D19" t="s">
        <v>28</v>
      </c>
      <c r="E19" t="s">
        <v>18</v>
      </c>
      <c r="F19" t="s">
        <v>27</v>
      </c>
      <c r="G19" t="s">
        <v>18</v>
      </c>
      <c r="H19" t="s">
        <v>24</v>
      </c>
      <c r="I19" t="s">
        <v>39</v>
      </c>
      <c r="J19" t="s">
        <v>32</v>
      </c>
      <c r="K19" t="s">
        <v>26</v>
      </c>
      <c r="L19" t="str">
        <f t="shared" si="0"/>
        <v>GladstoneMoveSHIPGP</v>
      </c>
      <c r="M19" t="str">
        <f t="shared" si="1"/>
        <v>Port KemblaStoreGP_STOREGP</v>
      </c>
      <c r="N19">
        <f t="shared" si="2"/>
        <v>2</v>
      </c>
      <c r="O19" t="str">
        <f t="shared" si="3"/>
        <v>GladstoneMoveGP</v>
      </c>
    </row>
    <row r="20" spans="1:15" x14ac:dyDescent="0.25">
      <c r="A20" cm="1">
        <f t="array" ref="A20">IF(ISNA(_xlfn.XLOOKUP(O20,$O$2:O19,$A$2:A19)),IF(COUNTIFS($O$2:O20,O20)=1,IF(COUNTIFS($C$2:C19,C20)=0,1,A19+1),A19),_xlfn.XLOOKUP(O20,$O$2:O19,$A$2:A19))</f>
        <v>6</v>
      </c>
      <c r="B20" t="s">
        <v>18</v>
      </c>
      <c r="C20" t="s">
        <v>19</v>
      </c>
      <c r="D20" t="s">
        <v>28</v>
      </c>
      <c r="E20" t="s">
        <v>18</v>
      </c>
      <c r="F20" t="s">
        <v>27</v>
      </c>
      <c r="G20" t="s">
        <v>18</v>
      </c>
      <c r="H20" t="s">
        <v>24</v>
      </c>
      <c r="I20" t="s">
        <v>40</v>
      </c>
      <c r="J20" t="s">
        <v>32</v>
      </c>
      <c r="K20" t="s">
        <v>26</v>
      </c>
      <c r="L20" t="str">
        <f t="shared" si="0"/>
        <v>GladstoneMoveSHIPGP</v>
      </c>
      <c r="M20" t="str">
        <f t="shared" si="1"/>
        <v>NewcastleStoreGP_STOREGP</v>
      </c>
      <c r="N20">
        <f t="shared" si="2"/>
        <v>2</v>
      </c>
      <c r="O20" t="str">
        <f t="shared" si="3"/>
        <v>GladstoneMoveGP</v>
      </c>
    </row>
    <row r="21" spans="1:15" x14ac:dyDescent="0.25">
      <c r="A21" cm="1">
        <f t="array" ref="A21">IF(ISNA(_xlfn.XLOOKUP(O21,$O$2:O20,$A$2:A20)),IF(COUNTIFS($O$2:O21,O21)=1,IF(COUNTIFS($C$2:C20,C21)=0,1,A20+1),A20),_xlfn.XLOOKUP(O21,$O$2:O20,$A$2:A20))</f>
        <v>6</v>
      </c>
      <c r="B21" t="s">
        <v>18</v>
      </c>
      <c r="C21" t="s">
        <v>19</v>
      </c>
      <c r="D21" t="s">
        <v>28</v>
      </c>
      <c r="E21" t="s">
        <v>18</v>
      </c>
      <c r="F21" t="s">
        <v>27</v>
      </c>
      <c r="G21" t="s">
        <v>18</v>
      </c>
      <c r="H21" t="s">
        <v>24</v>
      </c>
      <c r="I21" t="s">
        <v>31</v>
      </c>
      <c r="J21" t="s">
        <v>32</v>
      </c>
      <c r="K21" t="s">
        <v>26</v>
      </c>
      <c r="L21" t="str">
        <f t="shared" si="0"/>
        <v>GladstoneMoveSHIPGP</v>
      </c>
      <c r="M21" t="str">
        <f t="shared" si="1"/>
        <v>Bulwer IslandStoreGP_STOREGP</v>
      </c>
      <c r="N21">
        <f t="shared" si="2"/>
        <v>1</v>
      </c>
      <c r="O21" t="str">
        <f t="shared" si="3"/>
        <v>GladstoneMoveGP</v>
      </c>
    </row>
    <row r="22" spans="1:15" x14ac:dyDescent="0.25">
      <c r="A22" cm="1">
        <f t="array" ref="A22">IF(ISNA(_xlfn.XLOOKUP(O22,$O$2:O21,$A$2:A21)),IF(COUNTIFS($O$2:O22,O22)=1,IF(COUNTIFS($C$2:C21,C22)=0,1,A21+1),A21),_xlfn.XLOOKUP(O22,$O$2:O21,$A$2:A21))</f>
        <v>7</v>
      </c>
      <c r="B22" t="s">
        <v>18</v>
      </c>
      <c r="C22" t="s">
        <v>19</v>
      </c>
      <c r="D22" t="s">
        <v>36</v>
      </c>
      <c r="E22" t="s">
        <v>18</v>
      </c>
      <c r="F22" t="s">
        <v>35</v>
      </c>
      <c r="G22" t="s">
        <v>18</v>
      </c>
      <c r="H22" t="s">
        <v>21</v>
      </c>
      <c r="K22" t="s">
        <v>26</v>
      </c>
      <c r="L22" t="str">
        <f t="shared" si="0"/>
        <v>GladstoneDeliverTRUCKGP</v>
      </c>
      <c r="M22" t="str">
        <f t="shared" si="1"/>
        <v>NoneGP</v>
      </c>
      <c r="N22">
        <f t="shared" si="2"/>
        <v>0</v>
      </c>
      <c r="O22" t="str">
        <f t="shared" si="3"/>
        <v>GladstoneDeliverGP</v>
      </c>
    </row>
    <row r="23" spans="1:15" x14ac:dyDescent="0.25">
      <c r="A23" cm="1">
        <f t="array" ref="A23">IF(ISNA(_xlfn.XLOOKUP(O23,$O$2:O22,$A$2:A22)),IF(COUNTIFS($O$2:O23,O23)=1,IF(COUNTIFS($C$2:C22,C23)=0,1,A22+1),A22),_xlfn.XLOOKUP(O23,$O$2:O22,$A$2:A22))</f>
        <v>6</v>
      </c>
      <c r="B23" t="s">
        <v>18</v>
      </c>
      <c r="C23" t="s">
        <v>19</v>
      </c>
      <c r="D23" t="s">
        <v>37</v>
      </c>
      <c r="E23" t="s">
        <v>18</v>
      </c>
      <c r="F23" t="s">
        <v>27</v>
      </c>
      <c r="G23" t="s">
        <v>18</v>
      </c>
      <c r="H23" t="s">
        <v>24</v>
      </c>
      <c r="I23" t="s">
        <v>41</v>
      </c>
      <c r="J23" t="s">
        <v>32</v>
      </c>
      <c r="K23" t="s">
        <v>26</v>
      </c>
      <c r="L23" t="str">
        <f t="shared" si="0"/>
        <v>GladstoneMoveTRAINGP</v>
      </c>
      <c r="M23" t="str">
        <f t="shared" si="1"/>
        <v>MackayStoreGP_STOREGP</v>
      </c>
      <c r="N23">
        <f t="shared" si="2"/>
        <v>1</v>
      </c>
      <c r="O23" t="str">
        <f t="shared" si="3"/>
        <v>GladstoneMoveGP</v>
      </c>
    </row>
    <row r="24" spans="1:15" x14ac:dyDescent="0.25">
      <c r="A24" cm="1">
        <f t="array" ref="A24">IF(ISNA(_xlfn.XLOOKUP(O24,$O$2:O23,$A$2:A23)),IF(COUNTIFS($O$2:O24,O24)=1,IF(COUNTIFS($C$2:C23,C24)=0,1,A23+1),A23),_xlfn.XLOOKUP(O24,$O$2:O23,$A$2:A23))</f>
        <v>1</v>
      </c>
      <c r="B24" t="s">
        <v>18</v>
      </c>
      <c r="C24" t="s">
        <v>38</v>
      </c>
      <c r="D24" t="s">
        <v>32</v>
      </c>
      <c r="E24" t="s">
        <v>18</v>
      </c>
      <c r="F24" t="s">
        <v>24</v>
      </c>
      <c r="G24" t="s">
        <v>18</v>
      </c>
      <c r="H24" t="s">
        <v>35</v>
      </c>
      <c r="I24" t="s">
        <v>38</v>
      </c>
      <c r="J24" t="s">
        <v>36</v>
      </c>
      <c r="K24" t="s">
        <v>26</v>
      </c>
      <c r="L24" t="str">
        <f t="shared" si="0"/>
        <v>TownsvilleStoreGP_STOREGP</v>
      </c>
      <c r="M24" t="str">
        <f t="shared" si="1"/>
        <v>TownsvilleDeliverTRUCKGP</v>
      </c>
      <c r="N24">
        <f t="shared" si="2"/>
        <v>1</v>
      </c>
      <c r="O24" t="str">
        <f t="shared" si="3"/>
        <v>TownsvilleStoreGP</v>
      </c>
    </row>
    <row r="25" spans="1:15" x14ac:dyDescent="0.25">
      <c r="A25" cm="1">
        <f t="array" ref="A25">IF(ISNA(_xlfn.XLOOKUP(O25,$O$2:O24,$A$2:A24)),IF(COUNTIFS($O$2:O25,O25)=1,IF(COUNTIFS($C$2:C24,C25)=0,1,A24+1),A24),_xlfn.XLOOKUP(O25,$O$2:O24,$A$2:A24))</f>
        <v>1</v>
      </c>
      <c r="B25" t="s">
        <v>18</v>
      </c>
      <c r="C25" t="s">
        <v>39</v>
      </c>
      <c r="D25" t="s">
        <v>32</v>
      </c>
      <c r="E25" t="s">
        <v>18</v>
      </c>
      <c r="F25" t="s">
        <v>24</v>
      </c>
      <c r="G25" t="s">
        <v>18</v>
      </c>
      <c r="H25" t="s">
        <v>27</v>
      </c>
      <c r="I25" t="s">
        <v>39</v>
      </c>
      <c r="J25" t="s">
        <v>37</v>
      </c>
      <c r="K25" t="s">
        <v>26</v>
      </c>
      <c r="L25" t="str">
        <f t="shared" si="0"/>
        <v>Port KemblaStoreGP_STOREGP</v>
      </c>
      <c r="M25" t="str">
        <f t="shared" si="1"/>
        <v>Port KemblaMoveTRAINGP</v>
      </c>
      <c r="N25">
        <f t="shared" si="2"/>
        <v>2</v>
      </c>
      <c r="O25" t="str">
        <f t="shared" si="3"/>
        <v>Port KemblaStoreGP</v>
      </c>
    </row>
    <row r="26" spans="1:15" x14ac:dyDescent="0.25">
      <c r="A26" cm="1">
        <f t="array" ref="A26">IF(ISNA(_xlfn.XLOOKUP(O26,$O$2:O25,$A$2:A25)),IF(COUNTIFS($O$2:O26,O26)=1,IF(COUNTIFS($C$2:C25,C26)=0,1,A25+1),A25),_xlfn.XLOOKUP(O26,$O$2:O25,$A$2:A25))</f>
        <v>1</v>
      </c>
      <c r="B26" t="s">
        <v>18</v>
      </c>
      <c r="C26" t="s">
        <v>40</v>
      </c>
      <c r="D26" t="s">
        <v>32</v>
      </c>
      <c r="E26" t="s">
        <v>18</v>
      </c>
      <c r="F26" t="s">
        <v>24</v>
      </c>
      <c r="G26" t="s">
        <v>18</v>
      </c>
      <c r="H26" t="s">
        <v>35</v>
      </c>
      <c r="I26" t="s">
        <v>40</v>
      </c>
      <c r="J26" t="s">
        <v>36</v>
      </c>
      <c r="K26" t="s">
        <v>26</v>
      </c>
      <c r="L26" t="str">
        <f t="shared" si="0"/>
        <v>NewcastleStoreGP_STOREGP</v>
      </c>
      <c r="M26" t="str">
        <f t="shared" si="1"/>
        <v>NewcastleDeliverTRUCKGP</v>
      </c>
      <c r="N26">
        <f t="shared" si="2"/>
        <v>2</v>
      </c>
      <c r="O26" t="str">
        <f t="shared" si="3"/>
        <v>NewcastleStoreGP</v>
      </c>
    </row>
    <row r="27" spans="1:15" x14ac:dyDescent="0.25">
      <c r="A27" cm="1">
        <f t="array" ref="A27">IF(ISNA(_xlfn.XLOOKUP(O27,$O$2:O26,$A$2:A26)),IF(COUNTIFS($O$2:O27,O27)=1,IF(COUNTIFS($C$2:C26,C27)=0,1,A26+1),A26),_xlfn.XLOOKUP(O27,$O$2:O26,$A$2:A26))</f>
        <v>1</v>
      </c>
      <c r="B27" t="s">
        <v>18</v>
      </c>
      <c r="C27" t="s">
        <v>41</v>
      </c>
      <c r="D27" t="s">
        <v>32</v>
      </c>
      <c r="E27" t="s">
        <v>18</v>
      </c>
      <c r="F27" t="s">
        <v>24</v>
      </c>
      <c r="G27" t="s">
        <v>18</v>
      </c>
      <c r="H27" t="s">
        <v>35</v>
      </c>
      <c r="I27" t="s">
        <v>41</v>
      </c>
      <c r="J27" t="s">
        <v>36</v>
      </c>
      <c r="K27" t="s">
        <v>26</v>
      </c>
      <c r="L27" t="str">
        <f t="shared" si="0"/>
        <v>MackayStoreGP_STOREGP</v>
      </c>
      <c r="M27" t="str">
        <f t="shared" si="1"/>
        <v>MackayDeliverTRUCKGP</v>
      </c>
      <c r="N27">
        <f t="shared" si="2"/>
        <v>1</v>
      </c>
      <c r="O27" t="str">
        <f t="shared" si="3"/>
        <v>MackayStoreGP</v>
      </c>
    </row>
    <row r="28" spans="1:15" x14ac:dyDescent="0.25">
      <c r="A28" cm="1">
        <f t="array" ref="A28">IF(ISNA(_xlfn.XLOOKUP(O28,$O$2:O27,$A$2:A27)),IF(COUNTIFS($O$2:O28,O28)=1,IF(COUNTIFS($C$2:C27,C28)=0,1,A27+1),A27),_xlfn.XLOOKUP(O28,$O$2:O27,$A$2:A27))</f>
        <v>2</v>
      </c>
      <c r="B28" t="s">
        <v>18</v>
      </c>
      <c r="C28" t="s">
        <v>38</v>
      </c>
      <c r="D28" t="s">
        <v>36</v>
      </c>
      <c r="E28" t="s">
        <v>18</v>
      </c>
      <c r="F28" t="s">
        <v>35</v>
      </c>
      <c r="G28" t="s">
        <v>18</v>
      </c>
      <c r="H28" t="s">
        <v>21</v>
      </c>
      <c r="K28" t="s">
        <v>26</v>
      </c>
      <c r="L28" t="str">
        <f t="shared" si="0"/>
        <v>TownsvilleDeliverTRUCKGP</v>
      </c>
      <c r="M28" t="str">
        <f t="shared" si="1"/>
        <v>NoneGP</v>
      </c>
      <c r="N28">
        <f t="shared" si="2"/>
        <v>0</v>
      </c>
      <c r="O28" t="str">
        <f t="shared" si="3"/>
        <v>TownsvilleDeliverGP</v>
      </c>
    </row>
    <row r="29" spans="1:15" x14ac:dyDescent="0.25">
      <c r="A29" cm="1">
        <f t="array" ref="A29">IF(ISNA(_xlfn.XLOOKUP(O29,$O$2:O28,$A$2:A28)),IF(COUNTIFS($O$2:O29,O29)=1,IF(COUNTIFS($C$2:C28,C29)=0,1,A28+1),A28),_xlfn.XLOOKUP(O29,$O$2:O28,$A$2:A28))</f>
        <v>1</v>
      </c>
      <c r="B29" t="s">
        <v>18</v>
      </c>
      <c r="C29" t="s">
        <v>39</v>
      </c>
      <c r="D29" t="s">
        <v>32</v>
      </c>
      <c r="E29" t="s">
        <v>18</v>
      </c>
      <c r="F29" t="s">
        <v>24</v>
      </c>
      <c r="G29" t="s">
        <v>18</v>
      </c>
      <c r="H29" t="s">
        <v>35</v>
      </c>
      <c r="I29" t="s">
        <v>39</v>
      </c>
      <c r="J29" t="s">
        <v>36</v>
      </c>
      <c r="K29" t="s">
        <v>26</v>
      </c>
      <c r="L29" t="str">
        <f t="shared" si="0"/>
        <v>Port KemblaStoreGP_STOREGP</v>
      </c>
      <c r="M29" t="str">
        <f t="shared" si="1"/>
        <v>Port KemblaDeliverTRUCKGP</v>
      </c>
      <c r="N29">
        <f t="shared" si="2"/>
        <v>1</v>
      </c>
      <c r="O29" t="str">
        <f t="shared" si="3"/>
        <v>Port KemblaStoreGP</v>
      </c>
    </row>
    <row r="30" spans="1:15" x14ac:dyDescent="0.25">
      <c r="A30" cm="1">
        <f t="array" ref="A30">IF(ISNA(_xlfn.XLOOKUP(O30,$O$2:O29,$A$2:A29)),IF(COUNTIFS($O$2:O30,O30)=1,IF(COUNTIFS($C$2:C29,C30)=0,1,A29+1),A29),_xlfn.XLOOKUP(O30,$O$2:O29,$A$2:A29))</f>
        <v>2</v>
      </c>
      <c r="B30" t="s">
        <v>18</v>
      </c>
      <c r="C30" t="s">
        <v>39</v>
      </c>
      <c r="D30" t="s">
        <v>37</v>
      </c>
      <c r="E30" t="s">
        <v>18</v>
      </c>
      <c r="F30" t="s">
        <v>27</v>
      </c>
      <c r="G30" t="s">
        <v>18</v>
      </c>
      <c r="H30" t="s">
        <v>24</v>
      </c>
      <c r="I30" t="s">
        <v>42</v>
      </c>
      <c r="J30" t="s">
        <v>32</v>
      </c>
      <c r="K30" t="s">
        <v>26</v>
      </c>
      <c r="L30" t="str">
        <f t="shared" si="0"/>
        <v>Port KemblaMoveTRAINGP</v>
      </c>
      <c r="M30" t="str">
        <f t="shared" si="1"/>
        <v>AlburyStoreGP_STOREGP</v>
      </c>
      <c r="N30">
        <f t="shared" si="2"/>
        <v>1</v>
      </c>
      <c r="O30" t="str">
        <f t="shared" si="3"/>
        <v>Port KemblaMoveGP</v>
      </c>
    </row>
    <row r="31" spans="1:15" x14ac:dyDescent="0.25">
      <c r="A31" cm="1">
        <f t="array" ref="A31">IF(ISNA(_xlfn.XLOOKUP(O31,$O$2:O30,$A$2:A30)),IF(COUNTIFS($O$2:O31,O31)=1,IF(COUNTIFS($C$2:C30,C31)=0,1,A30+1),A30),_xlfn.XLOOKUP(O31,$O$2:O30,$A$2:A30))</f>
        <v>2</v>
      </c>
      <c r="B31" t="s">
        <v>18</v>
      </c>
      <c r="C31" t="s">
        <v>39</v>
      </c>
      <c r="D31" t="s">
        <v>37</v>
      </c>
      <c r="E31" t="s">
        <v>18</v>
      </c>
      <c r="F31" t="s">
        <v>27</v>
      </c>
      <c r="G31" t="s">
        <v>18</v>
      </c>
      <c r="H31" t="s">
        <v>24</v>
      </c>
      <c r="I31" t="s">
        <v>43</v>
      </c>
      <c r="J31" t="s">
        <v>32</v>
      </c>
      <c r="K31" t="s">
        <v>26</v>
      </c>
      <c r="L31" t="str">
        <f t="shared" si="0"/>
        <v>Port KemblaMoveTRAINGP</v>
      </c>
      <c r="M31" t="str">
        <f t="shared" si="1"/>
        <v>WaggaStoreGP_STOREGP</v>
      </c>
      <c r="N31">
        <f t="shared" si="2"/>
        <v>1</v>
      </c>
      <c r="O31" t="str">
        <f t="shared" si="3"/>
        <v>Port KemblaMoveGP</v>
      </c>
    </row>
    <row r="32" spans="1:15" x14ac:dyDescent="0.25">
      <c r="A32" cm="1">
        <f t="array" ref="A32">IF(ISNA(_xlfn.XLOOKUP(O32,$O$2:O31,$A$2:A31)),IF(COUNTIFS($O$2:O32,O32)=1,IF(COUNTIFS($C$2:C31,C32)=0,1,A31+1),A31),_xlfn.XLOOKUP(O32,$O$2:O31,$A$2:A31))</f>
        <v>1</v>
      </c>
      <c r="B32" t="s">
        <v>18</v>
      </c>
      <c r="C32" t="s">
        <v>42</v>
      </c>
      <c r="D32" t="s">
        <v>32</v>
      </c>
      <c r="E32" t="s">
        <v>18</v>
      </c>
      <c r="F32" t="s">
        <v>24</v>
      </c>
      <c r="G32" t="s">
        <v>18</v>
      </c>
      <c r="H32" t="s">
        <v>35</v>
      </c>
      <c r="I32" t="s">
        <v>42</v>
      </c>
      <c r="J32" t="s">
        <v>36</v>
      </c>
      <c r="K32" t="s">
        <v>26</v>
      </c>
      <c r="L32" t="str">
        <f t="shared" si="0"/>
        <v>AlburyStoreGP_STOREGP</v>
      </c>
      <c r="M32" t="str">
        <f t="shared" si="1"/>
        <v>AlburyDeliverTRUCKGP</v>
      </c>
      <c r="N32">
        <f t="shared" si="2"/>
        <v>1</v>
      </c>
      <c r="O32" t="str">
        <f t="shared" si="3"/>
        <v>AlburyStoreGP</v>
      </c>
    </row>
    <row r="33" spans="1:15" x14ac:dyDescent="0.25">
      <c r="A33" cm="1">
        <f t="array" ref="A33">IF(ISNA(_xlfn.XLOOKUP(O33,$O$2:O32,$A$2:A32)),IF(COUNTIFS($O$2:O33,O33)=1,IF(COUNTIFS($C$2:C32,C33)=0,1,A32+1),A32),_xlfn.XLOOKUP(O33,$O$2:O32,$A$2:A32))</f>
        <v>1</v>
      </c>
      <c r="B33" t="s">
        <v>18</v>
      </c>
      <c r="C33" t="s">
        <v>43</v>
      </c>
      <c r="D33" t="s">
        <v>32</v>
      </c>
      <c r="E33" t="s">
        <v>18</v>
      </c>
      <c r="F33" t="s">
        <v>24</v>
      </c>
      <c r="G33" t="s">
        <v>18</v>
      </c>
      <c r="H33" t="s">
        <v>35</v>
      </c>
      <c r="I33" t="s">
        <v>43</v>
      </c>
      <c r="J33" t="s">
        <v>36</v>
      </c>
      <c r="K33" t="s">
        <v>26</v>
      </c>
      <c r="L33" t="str">
        <f t="shared" si="0"/>
        <v>WaggaStoreGP_STOREGP</v>
      </c>
      <c r="M33" t="str">
        <f t="shared" si="1"/>
        <v>WaggaDeliverTRUCKGP</v>
      </c>
      <c r="N33">
        <f t="shared" si="2"/>
        <v>1</v>
      </c>
      <c r="O33" t="str">
        <f t="shared" si="3"/>
        <v>WaggaStoreGP</v>
      </c>
    </row>
    <row r="34" spans="1:15" x14ac:dyDescent="0.25">
      <c r="A34" cm="1">
        <f t="array" ref="A34">IF(ISNA(_xlfn.XLOOKUP(O34,$O$2:O33,$A$2:A33)),IF(COUNTIFS($O$2:O34,O34)=1,IF(COUNTIFS($C$2:C33,C34)=0,1,A33+1),A33),_xlfn.XLOOKUP(O34,$O$2:O33,$A$2:A33))</f>
        <v>2</v>
      </c>
      <c r="B34" t="s">
        <v>18</v>
      </c>
      <c r="C34" t="s">
        <v>42</v>
      </c>
      <c r="D34" t="s">
        <v>36</v>
      </c>
      <c r="E34" t="s">
        <v>18</v>
      </c>
      <c r="F34" t="s">
        <v>35</v>
      </c>
      <c r="G34" t="s">
        <v>18</v>
      </c>
      <c r="H34" t="s">
        <v>21</v>
      </c>
      <c r="K34" t="s">
        <v>26</v>
      </c>
      <c r="L34" t="str">
        <f t="shared" ref="L34:L66" si="4">C34&amp;F34&amp;D34&amp;E34</f>
        <v>AlburyDeliverTRUCKGP</v>
      </c>
      <c r="M34" t="str">
        <f t="shared" ref="M34:M66" si="5">I34&amp;H34&amp;J34&amp;G34</f>
        <v>NoneGP</v>
      </c>
      <c r="N34">
        <f t="shared" ref="N34:N65" si="6">COUNTIFS(L:L,M34)</f>
        <v>0</v>
      </c>
      <c r="O34" t="str">
        <f t="shared" si="3"/>
        <v>AlburyDeliverGP</v>
      </c>
    </row>
    <row r="35" spans="1:15" x14ac:dyDescent="0.25">
      <c r="A35" cm="1">
        <f t="array" ref="A35">IF(ISNA(_xlfn.XLOOKUP(O35,$O$2:O34,$A$2:A34)),IF(COUNTIFS($O$2:O35,O35)=1,IF(COUNTIFS($C$2:C34,C35)=0,1,A34+1),A34),_xlfn.XLOOKUP(O35,$O$2:O34,$A$2:A34))</f>
        <v>3</v>
      </c>
      <c r="B35" t="s">
        <v>18</v>
      </c>
      <c r="C35" t="s">
        <v>43</v>
      </c>
      <c r="D35" t="s">
        <v>36</v>
      </c>
      <c r="E35" t="s">
        <v>18</v>
      </c>
      <c r="F35" t="s">
        <v>35</v>
      </c>
      <c r="G35" t="s">
        <v>18</v>
      </c>
      <c r="H35" t="s">
        <v>21</v>
      </c>
      <c r="K35" t="s">
        <v>26</v>
      </c>
      <c r="L35" t="str">
        <f t="shared" si="4"/>
        <v>WaggaDeliverTRUCKGP</v>
      </c>
      <c r="M35" t="str">
        <f t="shared" si="5"/>
        <v>NoneGP</v>
      </c>
      <c r="N35">
        <f t="shared" si="6"/>
        <v>0</v>
      </c>
      <c r="O35" t="str">
        <f t="shared" si="3"/>
        <v>WaggaDeliverGP</v>
      </c>
    </row>
    <row r="36" spans="1:15" x14ac:dyDescent="0.25">
      <c r="A36" cm="1">
        <f t="array" ref="A36">IF(ISNA(_xlfn.XLOOKUP(O36,$O$2:O35,$A$2:A35)),IF(COUNTIFS($O$2:O36,O36)=1,IF(COUNTIFS($C$2:C35,C36)=0,1,A35+1),A35),_xlfn.XLOOKUP(O36,$O$2:O35,$A$2:A35))</f>
        <v>4</v>
      </c>
      <c r="B36" t="s">
        <v>18</v>
      </c>
      <c r="C36" t="s">
        <v>41</v>
      </c>
      <c r="D36" t="s">
        <v>36</v>
      </c>
      <c r="E36" t="s">
        <v>18</v>
      </c>
      <c r="F36" t="s">
        <v>35</v>
      </c>
      <c r="G36" t="s">
        <v>18</v>
      </c>
      <c r="H36" t="s">
        <v>21</v>
      </c>
      <c r="K36" t="s">
        <v>26</v>
      </c>
      <c r="L36" t="str">
        <f t="shared" si="4"/>
        <v>MackayDeliverTRUCKGP</v>
      </c>
      <c r="M36" t="str">
        <f t="shared" si="5"/>
        <v>NoneGP</v>
      </c>
      <c r="N36">
        <f t="shared" si="6"/>
        <v>0</v>
      </c>
      <c r="O36" t="str">
        <f t="shared" si="3"/>
        <v>MackayDeliverGP</v>
      </c>
    </row>
    <row r="37" spans="1:15" x14ac:dyDescent="0.25">
      <c r="A37" cm="1">
        <f t="array" ref="A37">IF(ISNA(_xlfn.XLOOKUP(O37,$O$2:O36,$A$2:A36)),IF(COUNTIFS($O$2:O37,O37)=1,IF(COUNTIFS($C$2:C36,C37)=0,1,A36+1),A36),_xlfn.XLOOKUP(O37,$O$2:O36,$A$2:A36))</f>
        <v>5</v>
      </c>
      <c r="B37" t="s">
        <v>18</v>
      </c>
      <c r="C37" t="s">
        <v>39</v>
      </c>
      <c r="D37" t="s">
        <v>36</v>
      </c>
      <c r="E37" t="s">
        <v>18</v>
      </c>
      <c r="F37" t="s">
        <v>35</v>
      </c>
      <c r="G37" t="s">
        <v>18</v>
      </c>
      <c r="H37" t="s">
        <v>21</v>
      </c>
      <c r="K37" t="s">
        <v>26</v>
      </c>
      <c r="L37" t="str">
        <f t="shared" si="4"/>
        <v>Port KemblaDeliverTRUCKGP</v>
      </c>
      <c r="M37" t="str">
        <f t="shared" si="5"/>
        <v>NoneGP</v>
      </c>
      <c r="N37">
        <f t="shared" si="6"/>
        <v>0</v>
      </c>
      <c r="O37" t="str">
        <f t="shared" si="3"/>
        <v>Port KemblaDeliverGP</v>
      </c>
    </row>
    <row r="38" spans="1:15" x14ac:dyDescent="0.25">
      <c r="A38" cm="1">
        <f t="array" ref="A38">IF(ISNA(_xlfn.XLOOKUP(O38,$O$2:O37,$A$2:A37)),IF(COUNTIFS($O$2:O38,O38)=1,IF(COUNTIFS($C$2:C37,C38)=0,1,A37+1),A37),_xlfn.XLOOKUP(O38,$O$2:O37,$A$2:A37))</f>
        <v>6</v>
      </c>
      <c r="B38" t="s">
        <v>18</v>
      </c>
      <c r="C38" t="s">
        <v>40</v>
      </c>
      <c r="D38" t="s">
        <v>36</v>
      </c>
      <c r="E38" t="s">
        <v>18</v>
      </c>
      <c r="F38" t="s">
        <v>35</v>
      </c>
      <c r="G38" t="s">
        <v>18</v>
      </c>
      <c r="H38" t="s">
        <v>21</v>
      </c>
      <c r="K38" t="s">
        <v>26</v>
      </c>
      <c r="L38" t="str">
        <f t="shared" si="4"/>
        <v>NewcastleDeliverTRUCKGP</v>
      </c>
      <c r="M38" t="str">
        <f t="shared" si="5"/>
        <v>NoneGP</v>
      </c>
      <c r="N38">
        <f t="shared" si="6"/>
        <v>0</v>
      </c>
      <c r="O38" t="str">
        <f t="shared" si="3"/>
        <v>NewcastleDeliverGP</v>
      </c>
    </row>
    <row r="39" spans="1:15" x14ac:dyDescent="0.25">
      <c r="A39" cm="1">
        <f t="array" ref="A39">IF(ISNA(_xlfn.XLOOKUP(O39,$O$2:O38,$A$2:A38)),IF(COUNTIFS($O$2:O39,O39)=1,IF(COUNTIFS($C$2:C38,C39)=0,1,A38+1),A38),_xlfn.XLOOKUP(O39,$O$2:O38,$A$2:A38))</f>
        <v>1</v>
      </c>
      <c r="B39" t="s">
        <v>18</v>
      </c>
      <c r="C39" t="s">
        <v>44</v>
      </c>
      <c r="D39" t="s">
        <v>25</v>
      </c>
      <c r="E39" t="s">
        <v>23</v>
      </c>
      <c r="F39" t="s">
        <v>24</v>
      </c>
      <c r="G39" t="s">
        <v>23</v>
      </c>
      <c r="H39" t="s">
        <v>27</v>
      </c>
      <c r="I39" t="s">
        <v>44</v>
      </c>
      <c r="J39" t="s">
        <v>28</v>
      </c>
      <c r="L39" t="str">
        <f t="shared" si="4"/>
        <v>ImportStoreCL_STORECL</v>
      </c>
      <c r="M39" t="str">
        <f t="shared" si="5"/>
        <v>ImportMoveSHIPCL</v>
      </c>
      <c r="N39">
        <f t="shared" si="6"/>
        <v>2</v>
      </c>
      <c r="O39" t="str">
        <f t="shared" si="3"/>
        <v>ImportStoreCL</v>
      </c>
    </row>
    <row r="40" spans="1:15" x14ac:dyDescent="0.25">
      <c r="A40" cm="1">
        <f t="array" ref="A40">IF(ISNA(_xlfn.XLOOKUP(O40,$O$2:O39,$A$2:A39)),IF(COUNTIFS($O$2:O40,O40)=1,IF(COUNTIFS($C$2:C39,C40)=0,1,A39+1),A39),_xlfn.XLOOKUP(O40,$O$2:O39,$A$2:A39))</f>
        <v>2</v>
      </c>
      <c r="B40" t="s">
        <v>18</v>
      </c>
      <c r="C40" t="s">
        <v>44</v>
      </c>
      <c r="D40" t="s">
        <v>28</v>
      </c>
      <c r="E40" t="s">
        <v>23</v>
      </c>
      <c r="F40" t="s">
        <v>27</v>
      </c>
      <c r="G40" t="s">
        <v>23</v>
      </c>
      <c r="H40" t="s">
        <v>27</v>
      </c>
      <c r="I40" t="s">
        <v>39</v>
      </c>
      <c r="J40" t="s">
        <v>45</v>
      </c>
      <c r="L40" t="str">
        <f>C40&amp;F40&amp;D40&amp;E40</f>
        <v>ImportMoveSHIPCL</v>
      </c>
      <c r="M40" t="str">
        <f>I40&amp;H40&amp;J40&amp;G40</f>
        <v>Port KemblaMoveCL_STORE_ICL</v>
      </c>
      <c r="N40">
        <f t="shared" si="6"/>
        <v>0</v>
      </c>
      <c r="O40" t="str">
        <f t="shared" si="3"/>
        <v>ImportMoveCL</v>
      </c>
    </row>
    <row r="41" spans="1:15" x14ac:dyDescent="0.25">
      <c r="A41" cm="1">
        <f t="array" ref="A41">IF(ISNA(_xlfn.XLOOKUP(O41,$O$2:O40,$A$2:A40)),IF(COUNTIFS($O$2:O41,O41)=1,IF(COUNTIFS($C$2:C40,C41)=0,1,A40+1),A40),_xlfn.XLOOKUP(O41,$O$2:O40,$A$2:A40))</f>
        <v>2</v>
      </c>
      <c r="B41" t="s">
        <v>18</v>
      </c>
      <c r="C41" t="s">
        <v>44</v>
      </c>
      <c r="D41" t="s">
        <v>28</v>
      </c>
      <c r="E41" t="s">
        <v>23</v>
      </c>
      <c r="F41" t="s">
        <v>27</v>
      </c>
      <c r="G41" t="s">
        <v>23</v>
      </c>
      <c r="H41" t="s">
        <v>27</v>
      </c>
      <c r="I41" t="s">
        <v>31</v>
      </c>
      <c r="J41" t="s">
        <v>45</v>
      </c>
      <c r="L41" t="str">
        <f>C41&amp;F41&amp;D41&amp;E41</f>
        <v>ImportMoveSHIPCL</v>
      </c>
      <c r="M41" t="str">
        <f>I41&amp;H41&amp;J41&amp;G41</f>
        <v>Bulwer IslandMoveCL_STORE_ICL</v>
      </c>
      <c r="N41">
        <f t="shared" si="6"/>
        <v>0</v>
      </c>
      <c r="O41" t="str">
        <f t="shared" si="3"/>
        <v>ImportMoveCL</v>
      </c>
    </row>
    <row r="42" spans="1:15" x14ac:dyDescent="0.25">
      <c r="A42" cm="1">
        <f t="array" ref="A42">IF(ISNA(_xlfn.XLOOKUP(O42,$O$2:O41,$A$2:A41)),IF(COUNTIFS($O$2:O42,O42)=1,IF(COUNTIFS($C$2:C41,C42)=0,1,A41+1),A41),_xlfn.XLOOKUP(O42,$O$2:O41,$A$2:A41))</f>
        <v>1</v>
      </c>
      <c r="B42" t="s">
        <v>18</v>
      </c>
      <c r="C42" t="s">
        <v>31</v>
      </c>
      <c r="D42" t="s">
        <v>45</v>
      </c>
      <c r="E42" t="s">
        <v>23</v>
      </c>
      <c r="F42" t="s">
        <v>24</v>
      </c>
      <c r="G42" t="s">
        <v>23</v>
      </c>
      <c r="H42" t="s">
        <v>22</v>
      </c>
      <c r="I42" t="s">
        <v>31</v>
      </c>
      <c r="J42" t="s">
        <v>33</v>
      </c>
      <c r="L42" t="str">
        <f t="shared" si="4"/>
        <v>Bulwer IslandStoreCL_STORE_ICL</v>
      </c>
      <c r="M42" t="str">
        <f t="shared" si="5"/>
        <v>Bulwer IslandMakeCM3CL</v>
      </c>
      <c r="N42">
        <f t="shared" si="6"/>
        <v>1</v>
      </c>
      <c r="O42" t="str">
        <f t="shared" si="3"/>
        <v>Bulwer IslandStoreCL</v>
      </c>
    </row>
    <row r="43" spans="1:15" x14ac:dyDescent="0.25">
      <c r="A43" cm="1">
        <f t="array" ref="A43">IF(ISNA(_xlfn.XLOOKUP(O43,$O$2:O42,$A$2:A42)),IF(COUNTIFS($O$2:O43,O43)=1,IF(COUNTIFS($C$2:C42,C43)=0,1,A42+1),A42),_xlfn.XLOOKUP(O43,$O$2:O42,$A$2:A42))</f>
        <v>1</v>
      </c>
      <c r="B43" t="s">
        <v>18</v>
      </c>
      <c r="C43" t="s">
        <v>31</v>
      </c>
      <c r="D43" t="s">
        <v>45</v>
      </c>
      <c r="E43" t="s">
        <v>23</v>
      </c>
      <c r="F43" t="s">
        <v>24</v>
      </c>
      <c r="G43" t="s">
        <v>23</v>
      </c>
      <c r="H43" t="s">
        <v>22</v>
      </c>
      <c r="I43" t="s">
        <v>31</v>
      </c>
      <c r="J43" t="s">
        <v>34</v>
      </c>
      <c r="L43" t="str">
        <f t="shared" si="4"/>
        <v>Bulwer IslandStoreCL_STORE_ICL</v>
      </c>
      <c r="M43" t="str">
        <f t="shared" si="5"/>
        <v>Bulwer IslandMakeCM4CL</v>
      </c>
      <c r="N43">
        <f t="shared" si="6"/>
        <v>1</v>
      </c>
      <c r="O43" t="str">
        <f t="shared" si="3"/>
        <v>Bulwer IslandStoreCL</v>
      </c>
    </row>
    <row r="44" spans="1:15" x14ac:dyDescent="0.25">
      <c r="A44" cm="1">
        <f t="array" ref="A44">IF(ISNA(_xlfn.XLOOKUP(O44,$O$2:O43,$A$2:A43)),IF(COUNTIFS($O$2:O44,O44)=1,IF(COUNTIFS($C$2:C43,C44)=0,1,A43+1),A43),_xlfn.XLOOKUP(O44,$O$2:O43,$A$2:A43))</f>
        <v>2</v>
      </c>
      <c r="B44" t="s">
        <v>18</v>
      </c>
      <c r="C44" t="s">
        <v>39</v>
      </c>
      <c r="D44" t="s">
        <v>45</v>
      </c>
      <c r="E44" t="s">
        <v>23</v>
      </c>
      <c r="F44" t="s">
        <v>24</v>
      </c>
      <c r="G44" t="s">
        <v>23</v>
      </c>
      <c r="H44" t="s">
        <v>22</v>
      </c>
      <c r="I44" t="s">
        <v>39</v>
      </c>
      <c r="J44" t="s">
        <v>46</v>
      </c>
      <c r="K44" t="s">
        <v>26</v>
      </c>
      <c r="L44" t="str">
        <f t="shared" si="4"/>
        <v>Port KemblaStoreCL_STORE_ICL</v>
      </c>
      <c r="M44" t="str">
        <f t="shared" si="5"/>
        <v>Port KemblaMakeCM9CL</v>
      </c>
      <c r="N44">
        <f t="shared" si="6"/>
        <v>1</v>
      </c>
      <c r="O44" t="str">
        <f t="shared" si="3"/>
        <v>Port KemblaStoreCL</v>
      </c>
    </row>
    <row r="45" spans="1:15" x14ac:dyDescent="0.25">
      <c r="A45" cm="1">
        <f t="array" ref="A45">IF(ISNA(_xlfn.XLOOKUP(O45,$O$2:O44,$A$2:A44)),IF(COUNTIFS($O$2:O45,O45)=1,IF(COUNTIFS($C$2:C44,C45)=0,1,A44+1),A44),_xlfn.XLOOKUP(O45,$O$2:O44,$A$2:A44))</f>
        <v>2</v>
      </c>
      <c r="B45" t="s">
        <v>18</v>
      </c>
      <c r="C45" t="s">
        <v>39</v>
      </c>
      <c r="D45" t="s">
        <v>45</v>
      </c>
      <c r="E45" t="s">
        <v>23</v>
      </c>
      <c r="F45" t="s">
        <v>24</v>
      </c>
      <c r="G45" t="s">
        <v>23</v>
      </c>
      <c r="H45" t="s">
        <v>22</v>
      </c>
      <c r="I45" t="s">
        <v>39</v>
      </c>
      <c r="J45" t="s">
        <v>47</v>
      </c>
      <c r="K45" t="s">
        <v>26</v>
      </c>
      <c r="L45" t="str">
        <f t="shared" si="4"/>
        <v>Port KemblaStoreCL_STORE_ICL</v>
      </c>
      <c r="M45" t="str">
        <f t="shared" si="5"/>
        <v>Port KemblaMakeCM10CL</v>
      </c>
      <c r="N45">
        <f t="shared" si="6"/>
        <v>1</v>
      </c>
      <c r="O45" t="str">
        <f t="shared" si="3"/>
        <v>Port KemblaStoreCL</v>
      </c>
    </row>
    <row r="46" spans="1:15" x14ac:dyDescent="0.25">
      <c r="A46" cm="1">
        <f t="array" ref="A46">IF(ISNA(_xlfn.XLOOKUP(O46,$O$2:O45,$A$2:A45)),IF(COUNTIFS($O$2:O46,O46)=1,IF(COUNTIFS($C$2:C45,C46)=0,1,A45+1),A45),_xlfn.XLOOKUP(O46,$O$2:O45,$A$2:A45))</f>
        <v>3</v>
      </c>
      <c r="B46" t="s">
        <v>18</v>
      </c>
      <c r="C46" t="s">
        <v>39</v>
      </c>
      <c r="D46" t="s">
        <v>46</v>
      </c>
      <c r="E46" t="s">
        <v>23</v>
      </c>
      <c r="F46" t="s">
        <v>22</v>
      </c>
      <c r="G46" t="s">
        <v>18</v>
      </c>
      <c r="H46" t="s">
        <v>24</v>
      </c>
      <c r="I46" t="s">
        <v>39</v>
      </c>
      <c r="J46" t="s">
        <v>32</v>
      </c>
      <c r="K46" t="s">
        <v>26</v>
      </c>
      <c r="L46" t="str">
        <f t="shared" si="4"/>
        <v>Port KemblaMakeCM9CL</v>
      </c>
      <c r="M46" t="str">
        <f t="shared" si="5"/>
        <v>Port KemblaStoreGP_STOREGP</v>
      </c>
      <c r="N46">
        <f t="shared" si="6"/>
        <v>2</v>
      </c>
      <c r="O46" t="str">
        <f t="shared" si="3"/>
        <v>Port KemblaMakeGP</v>
      </c>
    </row>
    <row r="47" spans="1:15" x14ac:dyDescent="0.25">
      <c r="A47" cm="1">
        <f t="array" ref="A47">IF(ISNA(_xlfn.XLOOKUP(O47,$O$2:O46,$A$2:A46)),IF(COUNTIFS($O$2:O47,O47)=1,IF(COUNTIFS($C$2:C46,C47)=0,1,A46+1),A46),_xlfn.XLOOKUP(O47,$O$2:O46,$A$2:A46))</f>
        <v>3</v>
      </c>
      <c r="B47" t="s">
        <v>18</v>
      </c>
      <c r="C47" t="s">
        <v>39</v>
      </c>
      <c r="D47" t="s">
        <v>47</v>
      </c>
      <c r="E47" t="s">
        <v>23</v>
      </c>
      <c r="F47" t="s">
        <v>22</v>
      </c>
      <c r="G47" t="s">
        <v>18</v>
      </c>
      <c r="H47" t="s">
        <v>24</v>
      </c>
      <c r="I47" t="s">
        <v>39</v>
      </c>
      <c r="J47" t="s">
        <v>32</v>
      </c>
      <c r="K47" t="s">
        <v>26</v>
      </c>
      <c r="L47" t="str">
        <f t="shared" si="4"/>
        <v>Port KemblaMakeCM10CL</v>
      </c>
      <c r="M47" t="str">
        <f t="shared" si="5"/>
        <v>Port KemblaStoreGP_STOREGP</v>
      </c>
      <c r="N47">
        <f t="shared" si="6"/>
        <v>2</v>
      </c>
      <c r="O47" t="str">
        <f t="shared" si="3"/>
        <v>Port KemblaMakeGP</v>
      </c>
    </row>
    <row r="48" spans="1:15" x14ac:dyDescent="0.25">
      <c r="A48" cm="1">
        <f t="array" ref="A48">IF(ISNA(_xlfn.XLOOKUP(O48,$O$2:O47,$A$2:A47)),IF(COUNTIFS($O$2:O48,O48)=1,IF(COUNTIFS($C$2:C47,C48)=0,1,A47+1),A47),_xlfn.XLOOKUP(O48,$O$2:O47,$A$2:A47))</f>
        <v>1</v>
      </c>
      <c r="B48" t="s">
        <v>18</v>
      </c>
      <c r="C48" t="s">
        <v>48</v>
      </c>
      <c r="D48" t="s">
        <v>49</v>
      </c>
      <c r="E48" t="s">
        <v>21</v>
      </c>
      <c r="F48" t="s">
        <v>22</v>
      </c>
      <c r="G48" t="s">
        <v>23</v>
      </c>
      <c r="H48" t="s">
        <v>24</v>
      </c>
      <c r="I48" t="s">
        <v>48</v>
      </c>
      <c r="J48" t="s">
        <v>25</v>
      </c>
      <c r="L48" t="str">
        <f t="shared" si="4"/>
        <v>RailtonMakeR1None</v>
      </c>
      <c r="M48" t="str">
        <f t="shared" si="5"/>
        <v>RailtonStoreCL_STORECL</v>
      </c>
      <c r="N48">
        <f t="shared" si="6"/>
        <v>2</v>
      </c>
      <c r="O48" t="str">
        <f t="shared" si="3"/>
        <v>RailtonMakeCL</v>
      </c>
    </row>
    <row r="49" spans="1:15" x14ac:dyDescent="0.25">
      <c r="A49" cm="1">
        <f t="array" ref="A49">IF(ISNA(_xlfn.XLOOKUP(O49,$O$2:O48,$A$2:A48)),IF(COUNTIFS($O$2:O49,O49)=1,IF(COUNTIFS($C$2:C48,C49)=0,1,A48+1),A48),_xlfn.XLOOKUP(O49,$O$2:O48,$A$2:A48))</f>
        <v>2</v>
      </c>
      <c r="B49" t="s">
        <v>18</v>
      </c>
      <c r="C49" t="s">
        <v>48</v>
      </c>
      <c r="D49" t="s">
        <v>25</v>
      </c>
      <c r="E49" t="s">
        <v>23</v>
      </c>
      <c r="F49" t="s">
        <v>24</v>
      </c>
      <c r="G49" t="s">
        <v>23</v>
      </c>
      <c r="H49" t="s">
        <v>22</v>
      </c>
      <c r="I49" t="s">
        <v>48</v>
      </c>
      <c r="J49" t="s">
        <v>33</v>
      </c>
      <c r="L49" t="str">
        <f t="shared" si="4"/>
        <v>RailtonStoreCL_STORECL</v>
      </c>
      <c r="M49" t="str">
        <f t="shared" si="5"/>
        <v>RailtonMakeCM3CL</v>
      </c>
      <c r="N49">
        <f t="shared" si="6"/>
        <v>1</v>
      </c>
      <c r="O49" t="str">
        <f t="shared" si="3"/>
        <v>RailtonStoreCL</v>
      </c>
    </row>
    <row r="50" spans="1:15" x14ac:dyDescent="0.25">
      <c r="A50" cm="1">
        <f t="array" ref="A50">IF(ISNA(_xlfn.XLOOKUP(O50,$O$2:O49,$A$2:A49)),IF(COUNTIFS($O$2:O50,O50)=1,IF(COUNTIFS($C$2:C49,C50)=0,1,A49+1),A49),_xlfn.XLOOKUP(O50,$O$2:O49,$A$2:A49))</f>
        <v>2</v>
      </c>
      <c r="B50" t="s">
        <v>18</v>
      </c>
      <c r="C50" t="s">
        <v>48</v>
      </c>
      <c r="D50" t="s">
        <v>25</v>
      </c>
      <c r="E50" t="s">
        <v>23</v>
      </c>
      <c r="F50" t="s">
        <v>24</v>
      </c>
      <c r="G50" t="s">
        <v>23</v>
      </c>
      <c r="H50" t="s">
        <v>22</v>
      </c>
      <c r="I50" t="s">
        <v>48</v>
      </c>
      <c r="J50" t="s">
        <v>34</v>
      </c>
      <c r="L50" t="str">
        <f t="shared" si="4"/>
        <v>RailtonStoreCL_STORECL</v>
      </c>
      <c r="M50" t="str">
        <f t="shared" si="5"/>
        <v>RailtonMakeCM4CL</v>
      </c>
      <c r="N50">
        <f t="shared" si="6"/>
        <v>1</v>
      </c>
      <c r="O50" t="str">
        <f t="shared" si="3"/>
        <v>RailtonStoreCL</v>
      </c>
    </row>
    <row r="51" spans="1:15" x14ac:dyDescent="0.25">
      <c r="A51" cm="1">
        <f t="array" ref="A51">IF(ISNA(_xlfn.XLOOKUP(O51,$O$2:O50,$A$2:A50)),IF(COUNTIFS($O$2:O51,O51)=1,IF(COUNTIFS($C$2:C50,C51)=0,1,A50+1),A50),_xlfn.XLOOKUP(O51,$O$2:O50,$A$2:A50))</f>
        <v>3</v>
      </c>
      <c r="B51" t="s">
        <v>18</v>
      </c>
      <c r="C51" t="s">
        <v>48</v>
      </c>
      <c r="D51" t="s">
        <v>33</v>
      </c>
      <c r="E51" t="s">
        <v>23</v>
      </c>
      <c r="F51" t="s">
        <v>22</v>
      </c>
      <c r="G51" t="s">
        <v>18</v>
      </c>
      <c r="H51" t="s">
        <v>24</v>
      </c>
      <c r="I51" t="s">
        <v>48</v>
      </c>
      <c r="J51" t="s">
        <v>32</v>
      </c>
      <c r="L51" t="str">
        <f t="shared" si="4"/>
        <v>RailtonMakeCM3CL</v>
      </c>
      <c r="M51" t="str">
        <f t="shared" si="5"/>
        <v>RailtonStoreGP_STOREGP</v>
      </c>
      <c r="N51">
        <f t="shared" si="6"/>
        <v>2</v>
      </c>
      <c r="O51" t="str">
        <f t="shared" si="3"/>
        <v>RailtonMakeGP</v>
      </c>
    </row>
    <row r="52" spans="1:15" x14ac:dyDescent="0.25">
      <c r="A52" cm="1">
        <f t="array" ref="A52">IF(ISNA(_xlfn.XLOOKUP(O52,$O$2:O51,$A$2:A51)),IF(COUNTIFS($O$2:O52,O52)=1,IF(COUNTIFS($C$2:C51,C52)=0,1,A51+1),A51),_xlfn.XLOOKUP(O52,$O$2:O51,$A$2:A51))</f>
        <v>3</v>
      </c>
      <c r="B52" t="s">
        <v>18</v>
      </c>
      <c r="C52" t="s">
        <v>48</v>
      </c>
      <c r="D52" t="s">
        <v>34</v>
      </c>
      <c r="E52" t="s">
        <v>23</v>
      </c>
      <c r="F52" t="s">
        <v>22</v>
      </c>
      <c r="G52" t="s">
        <v>18</v>
      </c>
      <c r="H52" t="s">
        <v>24</v>
      </c>
      <c r="I52" t="s">
        <v>48</v>
      </c>
      <c r="J52" t="s">
        <v>32</v>
      </c>
      <c r="L52" t="str">
        <f t="shared" si="4"/>
        <v>RailtonMakeCM4CL</v>
      </c>
      <c r="M52" t="str">
        <f t="shared" si="5"/>
        <v>RailtonStoreGP_STOREGP</v>
      </c>
      <c r="N52">
        <f t="shared" si="6"/>
        <v>2</v>
      </c>
      <c r="O52" t="str">
        <f t="shared" si="3"/>
        <v>RailtonMakeGP</v>
      </c>
    </row>
    <row r="53" spans="1:15" x14ac:dyDescent="0.25">
      <c r="A53" cm="1">
        <f t="array" ref="A53">IF(ISNA(_xlfn.XLOOKUP(O53,$O$2:O52,$A$2:A52)),IF(COUNTIFS($O$2:O53,O53)=1,IF(COUNTIFS($C$2:C52,C53)=0,1,A52+1),A52),_xlfn.XLOOKUP(O53,$O$2:O52,$A$2:A52))</f>
        <v>4</v>
      </c>
      <c r="B53" t="s">
        <v>18</v>
      </c>
      <c r="C53" t="s">
        <v>48</v>
      </c>
      <c r="D53" t="s">
        <v>32</v>
      </c>
      <c r="E53" t="s">
        <v>18</v>
      </c>
      <c r="F53" t="s">
        <v>24</v>
      </c>
      <c r="G53" t="s">
        <v>18</v>
      </c>
      <c r="H53" t="s">
        <v>35</v>
      </c>
      <c r="I53" t="s">
        <v>48</v>
      </c>
      <c r="J53" t="s">
        <v>36</v>
      </c>
      <c r="L53" t="str">
        <f t="shared" si="4"/>
        <v>RailtonStoreGP_STOREGP</v>
      </c>
      <c r="M53" t="str">
        <f t="shared" si="5"/>
        <v>RailtonDeliverTRUCKGP</v>
      </c>
      <c r="N53">
        <f t="shared" si="6"/>
        <v>1</v>
      </c>
      <c r="O53" t="str">
        <f t="shared" si="3"/>
        <v>RailtonStoreGP</v>
      </c>
    </row>
    <row r="54" spans="1:15" x14ac:dyDescent="0.25">
      <c r="A54" cm="1">
        <f t="array" ref="A54">IF(ISNA(_xlfn.XLOOKUP(O54,$O$2:O53,$A$2:A53)),IF(COUNTIFS($O$2:O54,O54)=1,IF(COUNTIFS($C$2:C53,C54)=0,1,A53+1),A53),_xlfn.XLOOKUP(O54,$O$2:O53,$A$2:A53))</f>
        <v>4</v>
      </c>
      <c r="B54" t="s">
        <v>18</v>
      </c>
      <c r="C54" t="s">
        <v>48</v>
      </c>
      <c r="D54" t="s">
        <v>32</v>
      </c>
      <c r="E54" t="s">
        <v>18</v>
      </c>
      <c r="F54" t="s">
        <v>24</v>
      </c>
      <c r="G54" t="s">
        <v>18</v>
      </c>
      <c r="H54" t="s">
        <v>27</v>
      </c>
      <c r="I54" t="s">
        <v>48</v>
      </c>
      <c r="J54" t="s">
        <v>37</v>
      </c>
      <c r="L54" t="str">
        <f t="shared" si="4"/>
        <v>RailtonStoreGP_STOREGP</v>
      </c>
      <c r="M54" t="str">
        <f t="shared" si="5"/>
        <v>RailtonMoveTRAINGP</v>
      </c>
      <c r="N54">
        <f t="shared" si="6"/>
        <v>1</v>
      </c>
      <c r="O54" t="str">
        <f t="shared" si="3"/>
        <v>RailtonStoreGP</v>
      </c>
    </row>
    <row r="55" spans="1:15" x14ac:dyDescent="0.25">
      <c r="A55" cm="1">
        <f t="array" ref="A55">IF(ISNA(_xlfn.XLOOKUP(O55,$O$2:O54,$A$2:A54)),IF(COUNTIFS($O$2:O55,O55)=1,IF(COUNTIFS($C$2:C54,C55)=0,1,A54+1),A54),_xlfn.XLOOKUP(O55,$O$2:O54,$A$2:A54))</f>
        <v>5</v>
      </c>
      <c r="B55" t="s">
        <v>18</v>
      </c>
      <c r="C55" t="s">
        <v>48</v>
      </c>
      <c r="D55" t="s">
        <v>37</v>
      </c>
      <c r="E55" t="s">
        <v>18</v>
      </c>
      <c r="F55" t="s">
        <v>27</v>
      </c>
      <c r="G55" t="s">
        <v>18</v>
      </c>
      <c r="H55" t="s">
        <v>24</v>
      </c>
      <c r="I55" t="s">
        <v>50</v>
      </c>
      <c r="J55" t="s">
        <v>32</v>
      </c>
      <c r="L55" t="str">
        <f t="shared" si="4"/>
        <v>RailtonMoveTRAINGP</v>
      </c>
      <c r="M55" t="str">
        <f t="shared" si="5"/>
        <v>DavenportStoreGP_STOREGP</v>
      </c>
      <c r="N55">
        <f t="shared" si="6"/>
        <v>1</v>
      </c>
      <c r="O55" t="str">
        <f t="shared" si="3"/>
        <v>RailtonMoveGP</v>
      </c>
    </row>
    <row r="56" spans="1:15" x14ac:dyDescent="0.25">
      <c r="A56" cm="1">
        <f t="array" ref="A56">IF(ISNA(_xlfn.XLOOKUP(O56,$O$2:O55,$A$2:A55)),IF(COUNTIFS($O$2:O56,O56)=1,IF(COUNTIFS($C$2:C55,C56)=0,1,A55+1),A55),_xlfn.XLOOKUP(O56,$O$2:O55,$A$2:A55))</f>
        <v>1</v>
      </c>
      <c r="B56" t="s">
        <v>18</v>
      </c>
      <c r="C56" t="s">
        <v>50</v>
      </c>
      <c r="D56" t="s">
        <v>32</v>
      </c>
      <c r="E56" t="s">
        <v>18</v>
      </c>
      <c r="F56" t="s">
        <v>24</v>
      </c>
      <c r="G56" t="s">
        <v>18</v>
      </c>
      <c r="H56" t="s">
        <v>27</v>
      </c>
      <c r="I56" t="s">
        <v>50</v>
      </c>
      <c r="J56" t="s">
        <v>28</v>
      </c>
      <c r="L56" t="str">
        <f t="shared" si="4"/>
        <v>DavenportStoreGP_STOREGP</v>
      </c>
      <c r="M56" t="str">
        <f t="shared" si="5"/>
        <v>DavenportMoveSHIPGP</v>
      </c>
      <c r="N56">
        <f t="shared" si="6"/>
        <v>3</v>
      </c>
      <c r="O56" t="str">
        <f t="shared" si="3"/>
        <v>DavenportStoreGP</v>
      </c>
    </row>
    <row r="57" spans="1:15" x14ac:dyDescent="0.25">
      <c r="A57" cm="1">
        <f t="array" ref="A57">IF(ISNA(_xlfn.XLOOKUP(O57,$O$2:O56,$A$2:A56)),IF(COUNTIFS($O$2:O57,O57)=1,IF(COUNTIFS($C$2:C56,C57)=0,1,A56+1),A56),_xlfn.XLOOKUP(O57,$O$2:O56,$A$2:A56))</f>
        <v>2</v>
      </c>
      <c r="B57" t="s">
        <v>18</v>
      </c>
      <c r="C57" t="s">
        <v>50</v>
      </c>
      <c r="D57" t="s">
        <v>28</v>
      </c>
      <c r="E57" t="s">
        <v>18</v>
      </c>
      <c r="F57" t="s">
        <v>27</v>
      </c>
      <c r="G57" t="s">
        <v>18</v>
      </c>
      <c r="H57" t="s">
        <v>24</v>
      </c>
      <c r="I57" t="s">
        <v>51</v>
      </c>
      <c r="J57" t="s">
        <v>32</v>
      </c>
      <c r="L57" t="str">
        <f t="shared" si="4"/>
        <v>DavenportMoveSHIPGP</v>
      </c>
      <c r="M57" t="str">
        <f t="shared" si="5"/>
        <v>MelbourneStoreGP_STOREGP</v>
      </c>
      <c r="N57">
        <f t="shared" si="6"/>
        <v>1</v>
      </c>
      <c r="O57" t="str">
        <f t="shared" si="3"/>
        <v>DavenportMoveGP</v>
      </c>
    </row>
    <row r="58" spans="1:15" x14ac:dyDescent="0.25">
      <c r="A58" cm="1">
        <f t="array" ref="A58">IF(ISNA(_xlfn.XLOOKUP(O58,$O$2:O57,$A$2:A57)),IF(COUNTIFS($O$2:O58,O58)=1,IF(COUNTIFS($C$2:C57,C58)=0,1,A57+1),A57),_xlfn.XLOOKUP(O58,$O$2:O57,$A$2:A57))</f>
        <v>2</v>
      </c>
      <c r="B58" t="s">
        <v>18</v>
      </c>
      <c r="C58" t="s">
        <v>50</v>
      </c>
      <c r="D58" t="s">
        <v>28</v>
      </c>
      <c r="E58" t="s">
        <v>18</v>
      </c>
      <c r="F58" t="s">
        <v>27</v>
      </c>
      <c r="G58" t="s">
        <v>18</v>
      </c>
      <c r="H58" t="s">
        <v>24</v>
      </c>
      <c r="I58" t="s">
        <v>52</v>
      </c>
      <c r="J58" t="s">
        <v>32</v>
      </c>
      <c r="L58" t="str">
        <f t="shared" si="4"/>
        <v>DavenportMoveSHIPGP</v>
      </c>
      <c r="M58" t="str">
        <f t="shared" si="5"/>
        <v>OsbornStoreGP_STOREGP</v>
      </c>
      <c r="N58">
        <f t="shared" si="6"/>
        <v>1</v>
      </c>
      <c r="O58" t="str">
        <f t="shared" si="3"/>
        <v>DavenportMoveGP</v>
      </c>
    </row>
    <row r="59" spans="1:15" x14ac:dyDescent="0.25">
      <c r="A59" cm="1">
        <f t="array" ref="A59">IF(ISNA(_xlfn.XLOOKUP(O59,$O$2:O58,$A$2:A58)),IF(COUNTIFS($O$2:O59,O59)=1,IF(COUNTIFS($C$2:C58,C59)=0,1,A58+1),A58),_xlfn.XLOOKUP(O59,$O$2:O58,$A$2:A58))</f>
        <v>2</v>
      </c>
      <c r="B59" t="s">
        <v>18</v>
      </c>
      <c r="C59" t="s">
        <v>50</v>
      </c>
      <c r="D59" t="s">
        <v>28</v>
      </c>
      <c r="E59" t="s">
        <v>18</v>
      </c>
      <c r="F59" t="s">
        <v>27</v>
      </c>
      <c r="G59" t="s">
        <v>18</v>
      </c>
      <c r="H59" t="s">
        <v>24</v>
      </c>
      <c r="I59" t="s">
        <v>40</v>
      </c>
      <c r="J59" t="s">
        <v>32</v>
      </c>
      <c r="L59" t="str">
        <f t="shared" si="4"/>
        <v>DavenportMoveSHIPGP</v>
      </c>
      <c r="M59" t="str">
        <f t="shared" si="5"/>
        <v>NewcastleStoreGP_STOREGP</v>
      </c>
      <c r="N59">
        <f t="shared" si="6"/>
        <v>2</v>
      </c>
      <c r="O59" t="str">
        <f t="shared" si="3"/>
        <v>DavenportMoveGP</v>
      </c>
    </row>
    <row r="60" spans="1:15" x14ac:dyDescent="0.25">
      <c r="A60" cm="1">
        <f t="array" ref="A60">IF(ISNA(_xlfn.XLOOKUP(O60,$O$2:O59,$A$2:A59)),IF(COUNTIFS($O$2:O60,O60)=1,IF(COUNTIFS($C$2:C59,C60)=0,1,A59+1),A59),_xlfn.XLOOKUP(O60,$O$2:O59,$A$2:A59))</f>
        <v>1</v>
      </c>
      <c r="B60" t="s">
        <v>18</v>
      </c>
      <c r="C60" t="s">
        <v>51</v>
      </c>
      <c r="D60" t="s">
        <v>32</v>
      </c>
      <c r="E60" t="s">
        <v>18</v>
      </c>
      <c r="F60" t="s">
        <v>24</v>
      </c>
      <c r="G60" t="s">
        <v>18</v>
      </c>
      <c r="H60" t="s">
        <v>35</v>
      </c>
      <c r="I60" t="s">
        <v>51</v>
      </c>
      <c r="J60" t="s">
        <v>36</v>
      </c>
      <c r="L60" t="str">
        <f t="shared" si="4"/>
        <v>MelbourneStoreGP_STOREGP</v>
      </c>
      <c r="M60" t="str">
        <f t="shared" si="5"/>
        <v>MelbourneDeliverTRUCKGP</v>
      </c>
      <c r="N60">
        <f t="shared" si="6"/>
        <v>1</v>
      </c>
      <c r="O60" t="str">
        <f t="shared" si="3"/>
        <v>MelbourneStoreGP</v>
      </c>
    </row>
    <row r="61" spans="1:15" x14ac:dyDescent="0.25">
      <c r="A61" cm="1">
        <f t="array" ref="A61">IF(ISNA(_xlfn.XLOOKUP(O61,$O$2:O60,$A$2:A60)),IF(COUNTIFS($O$2:O61,O61)=1,IF(COUNTIFS($C$2:C60,C61)=0,1,A60+1),A60),_xlfn.XLOOKUP(O61,$O$2:O60,$A$2:A60))</f>
        <v>1</v>
      </c>
      <c r="B61" t="s">
        <v>18</v>
      </c>
      <c r="C61" t="s">
        <v>52</v>
      </c>
      <c r="D61" t="s">
        <v>32</v>
      </c>
      <c r="E61" t="s">
        <v>18</v>
      </c>
      <c r="F61" t="s">
        <v>24</v>
      </c>
      <c r="G61" t="s">
        <v>18</v>
      </c>
      <c r="H61" t="s">
        <v>35</v>
      </c>
      <c r="I61" t="s">
        <v>52</v>
      </c>
      <c r="J61" t="s">
        <v>36</v>
      </c>
      <c r="L61" t="str">
        <f t="shared" si="4"/>
        <v>OsbornStoreGP_STOREGP</v>
      </c>
      <c r="M61" t="str">
        <f t="shared" si="5"/>
        <v>OsbornDeliverTRUCKGP</v>
      </c>
      <c r="N61">
        <f t="shared" si="6"/>
        <v>1</v>
      </c>
      <c r="O61" t="str">
        <f t="shared" si="3"/>
        <v>OsbornStoreGP</v>
      </c>
    </row>
    <row r="62" spans="1:15" x14ac:dyDescent="0.25">
      <c r="A62" cm="1">
        <f t="array" ref="A62">IF(ISNA(_xlfn.XLOOKUP(O62,$O$2:O61,$A$2:A61)),IF(COUNTIFS($O$2:O62,O62)=1,IF(COUNTIFS($C$2:C61,C62)=0,1,A61+1),A61),_xlfn.XLOOKUP(O62,$O$2:O61,$A$2:A61))</f>
        <v>1</v>
      </c>
      <c r="B62" t="s">
        <v>18</v>
      </c>
      <c r="C62" t="s">
        <v>40</v>
      </c>
      <c r="D62" t="s">
        <v>32</v>
      </c>
      <c r="E62" t="s">
        <v>18</v>
      </c>
      <c r="F62" t="s">
        <v>24</v>
      </c>
      <c r="G62" t="s">
        <v>18</v>
      </c>
      <c r="H62" t="s">
        <v>35</v>
      </c>
      <c r="I62" t="s">
        <v>40</v>
      </c>
      <c r="J62" t="s">
        <v>36</v>
      </c>
      <c r="L62" t="str">
        <f t="shared" si="4"/>
        <v>NewcastleStoreGP_STOREGP</v>
      </c>
      <c r="M62" t="str">
        <f t="shared" si="5"/>
        <v>NewcastleDeliverTRUCKGP</v>
      </c>
      <c r="N62">
        <f t="shared" si="6"/>
        <v>2</v>
      </c>
      <c r="O62" t="str">
        <f t="shared" si="3"/>
        <v>NewcastleStoreGP</v>
      </c>
    </row>
    <row r="63" spans="1:15" x14ac:dyDescent="0.25">
      <c r="A63" cm="1">
        <f t="array" ref="A63">IF(ISNA(_xlfn.XLOOKUP(O63,$O$2:O62,$A$2:A62)),IF(COUNTIFS($O$2:O63,O63)=1,IF(COUNTIFS($C$2:C62,C63)=0,1,A62+1),A62),_xlfn.XLOOKUP(O63,$O$2:O62,$A$2:A62))</f>
        <v>2</v>
      </c>
      <c r="B63" t="s">
        <v>18</v>
      </c>
      <c r="C63" t="s">
        <v>48</v>
      </c>
      <c r="D63" t="s">
        <v>36</v>
      </c>
      <c r="E63" t="s">
        <v>18</v>
      </c>
      <c r="F63" t="s">
        <v>35</v>
      </c>
      <c r="G63" t="s">
        <v>18</v>
      </c>
      <c r="H63" t="s">
        <v>21</v>
      </c>
      <c r="L63" t="str">
        <f t="shared" si="4"/>
        <v>RailtonDeliverTRUCKGP</v>
      </c>
      <c r="M63" t="str">
        <f t="shared" si="5"/>
        <v>NoneGP</v>
      </c>
      <c r="N63">
        <f t="shared" si="6"/>
        <v>0</v>
      </c>
      <c r="O63" t="str">
        <f t="shared" si="3"/>
        <v>RailtonDeliverGP</v>
      </c>
    </row>
    <row r="64" spans="1:15" x14ac:dyDescent="0.25">
      <c r="A64" cm="1">
        <f t="array" ref="A64">IF(ISNA(_xlfn.XLOOKUP(O64,$O$2:O63,$A$2:A63)),IF(COUNTIFS($O$2:O64,O64)=1,IF(COUNTIFS($C$2:C63,C64)=0,1,A63+1),A63),_xlfn.XLOOKUP(O64,$O$2:O63,$A$2:A63))</f>
        <v>3</v>
      </c>
      <c r="B64" t="s">
        <v>18</v>
      </c>
      <c r="C64" t="s">
        <v>51</v>
      </c>
      <c r="D64" t="s">
        <v>36</v>
      </c>
      <c r="E64" t="s">
        <v>18</v>
      </c>
      <c r="F64" t="s">
        <v>35</v>
      </c>
      <c r="G64" t="s">
        <v>18</v>
      </c>
      <c r="H64" t="s">
        <v>21</v>
      </c>
      <c r="L64" t="str">
        <f t="shared" si="4"/>
        <v>MelbourneDeliverTRUCKGP</v>
      </c>
      <c r="M64" t="str">
        <f t="shared" si="5"/>
        <v>NoneGP</v>
      </c>
      <c r="N64">
        <f t="shared" si="6"/>
        <v>0</v>
      </c>
      <c r="O64" t="str">
        <f t="shared" si="3"/>
        <v>MelbourneDeliverGP</v>
      </c>
    </row>
    <row r="65" spans="1:15" x14ac:dyDescent="0.25">
      <c r="A65" cm="1">
        <f t="array" ref="A65">IF(ISNA(_xlfn.XLOOKUP(O65,$O$2:O64,$A$2:A64)),IF(COUNTIFS($O$2:O65,O65)=1,IF(COUNTIFS($C$2:C64,C65)=0,1,A64+1),A64),_xlfn.XLOOKUP(O65,$O$2:O64,$A$2:A64))</f>
        <v>4</v>
      </c>
      <c r="B65" t="s">
        <v>18</v>
      </c>
      <c r="C65" t="s">
        <v>52</v>
      </c>
      <c r="D65" t="s">
        <v>36</v>
      </c>
      <c r="E65" t="s">
        <v>18</v>
      </c>
      <c r="F65" t="s">
        <v>35</v>
      </c>
      <c r="G65" t="s">
        <v>18</v>
      </c>
      <c r="H65" t="s">
        <v>21</v>
      </c>
      <c r="L65" t="str">
        <f t="shared" si="4"/>
        <v>OsbornDeliverTRUCKGP</v>
      </c>
      <c r="M65" t="str">
        <f t="shared" si="5"/>
        <v>NoneGP</v>
      </c>
      <c r="N65">
        <f t="shared" si="6"/>
        <v>0</v>
      </c>
      <c r="O65" t="str">
        <f t="shared" si="3"/>
        <v>OsbornDeliverGP</v>
      </c>
    </row>
    <row r="66" spans="1:15" x14ac:dyDescent="0.25">
      <c r="A66" cm="1">
        <f t="array" ref="A66">IF(ISNA(_xlfn.XLOOKUP(O66,$O$2:O65,$A$2:A65)),IF(COUNTIFS($O$2:O66,O66)=1,IF(COUNTIFS($C$2:C65,C66)=0,1,A65+1),A65),_xlfn.XLOOKUP(O66,$O$2:O65,$A$2:A65))</f>
        <v>6</v>
      </c>
      <c r="B66" t="s">
        <v>18</v>
      </c>
      <c r="C66" t="s">
        <v>40</v>
      </c>
      <c r="D66" t="s">
        <v>36</v>
      </c>
      <c r="E66" t="s">
        <v>18</v>
      </c>
      <c r="F66" t="s">
        <v>35</v>
      </c>
      <c r="G66" t="s">
        <v>18</v>
      </c>
      <c r="H66" t="s">
        <v>21</v>
      </c>
      <c r="L66" t="str">
        <f t="shared" si="4"/>
        <v>NewcastleDeliverTRUCKGP</v>
      </c>
      <c r="M66" t="str">
        <f t="shared" si="5"/>
        <v>NoneGP</v>
      </c>
      <c r="N66">
        <f t="shared" ref="N66" si="7">COUNTIFS(L:L,M66)</f>
        <v>0</v>
      </c>
      <c r="O66" t="str">
        <f t="shared" si="3"/>
        <v>NewcastleDeliverGP</v>
      </c>
    </row>
  </sheetData>
  <autoFilter ref="A1:J66" xr:uid="{00000000-0009-0000-0000-000001000000}"/>
  <conditionalFormatting sqref="L1:M104857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selection activeCell="C6" sqref="C6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39.85546875" bestFit="1" customWidth="1"/>
    <col min="7" max="7" width="22.5703125" bestFit="1" customWidth="1"/>
  </cols>
  <sheetData>
    <row r="1" spans="1:7" x14ac:dyDescent="0.25">
      <c r="A1" s="1" t="s">
        <v>8</v>
      </c>
      <c r="B1" s="1" t="s">
        <v>9</v>
      </c>
      <c r="C1" s="1" t="s">
        <v>10</v>
      </c>
      <c r="D1" s="1" t="s">
        <v>53</v>
      </c>
      <c r="E1" s="1" t="s">
        <v>54</v>
      </c>
      <c r="F1" s="1" t="s">
        <v>55</v>
      </c>
      <c r="G1" s="1" t="s">
        <v>56</v>
      </c>
    </row>
    <row r="2" spans="1:7" x14ac:dyDescent="0.25">
      <c r="A2" t="s">
        <v>31</v>
      </c>
      <c r="B2" t="s">
        <v>33</v>
      </c>
      <c r="C2" t="s">
        <v>23</v>
      </c>
      <c r="D2">
        <v>0</v>
      </c>
      <c r="E2">
        <v>0</v>
      </c>
      <c r="G2">
        <v>0</v>
      </c>
    </row>
    <row r="3" spans="1:7" x14ac:dyDescent="0.25">
      <c r="A3" t="s">
        <v>31</v>
      </c>
      <c r="B3" t="s">
        <v>34</v>
      </c>
      <c r="C3" t="s">
        <v>23</v>
      </c>
      <c r="D3">
        <v>0</v>
      </c>
      <c r="E3">
        <v>0</v>
      </c>
      <c r="G3">
        <v>0</v>
      </c>
    </row>
    <row r="4" spans="1:7" x14ac:dyDescent="0.25">
      <c r="A4" t="s">
        <v>19</v>
      </c>
      <c r="B4" t="s">
        <v>29</v>
      </c>
      <c r="C4" t="s">
        <v>23</v>
      </c>
      <c r="D4">
        <v>0</v>
      </c>
      <c r="E4">
        <v>0</v>
      </c>
      <c r="G4">
        <v>0</v>
      </c>
    </row>
    <row r="5" spans="1:7" x14ac:dyDescent="0.25">
      <c r="A5" t="s">
        <v>19</v>
      </c>
      <c r="B5" t="s">
        <v>30</v>
      </c>
      <c r="C5" t="s">
        <v>23</v>
      </c>
      <c r="D5">
        <v>0</v>
      </c>
      <c r="E5">
        <v>0</v>
      </c>
      <c r="G5">
        <v>0</v>
      </c>
    </row>
    <row r="6" spans="1:7" x14ac:dyDescent="0.25">
      <c r="A6" t="s">
        <v>19</v>
      </c>
      <c r="B6" t="s">
        <v>20</v>
      </c>
      <c r="D6">
        <v>0</v>
      </c>
      <c r="E6">
        <v>0</v>
      </c>
      <c r="G6">
        <v>0</v>
      </c>
    </row>
    <row r="7" spans="1:7" x14ac:dyDescent="0.25">
      <c r="A7" t="s">
        <v>39</v>
      </c>
      <c r="B7" t="s">
        <v>47</v>
      </c>
      <c r="C7" t="s">
        <v>23</v>
      </c>
      <c r="D7">
        <v>0</v>
      </c>
      <c r="E7">
        <v>0</v>
      </c>
      <c r="G7">
        <v>0</v>
      </c>
    </row>
    <row r="8" spans="1:7" x14ac:dyDescent="0.25">
      <c r="A8" t="s">
        <v>39</v>
      </c>
      <c r="B8" t="s">
        <v>46</v>
      </c>
      <c r="C8" t="s">
        <v>23</v>
      </c>
      <c r="D8">
        <v>0</v>
      </c>
      <c r="E8">
        <v>0</v>
      </c>
      <c r="G8">
        <v>0</v>
      </c>
    </row>
    <row r="9" spans="1:7" x14ac:dyDescent="0.25">
      <c r="A9" t="s">
        <v>48</v>
      </c>
      <c r="B9" t="s">
        <v>33</v>
      </c>
      <c r="C9" t="s">
        <v>23</v>
      </c>
      <c r="D9">
        <v>0</v>
      </c>
      <c r="E9">
        <v>0</v>
      </c>
      <c r="G9">
        <v>0</v>
      </c>
    </row>
    <row r="10" spans="1:7" x14ac:dyDescent="0.25">
      <c r="A10" t="s">
        <v>48</v>
      </c>
      <c r="B10" t="s">
        <v>34</v>
      </c>
      <c r="C10" t="s">
        <v>23</v>
      </c>
      <c r="D10">
        <v>0</v>
      </c>
      <c r="E10">
        <v>0</v>
      </c>
      <c r="G10">
        <v>0</v>
      </c>
    </row>
    <row r="11" spans="1:7" x14ac:dyDescent="0.25">
      <c r="A11" t="s">
        <v>48</v>
      </c>
      <c r="B11" t="s">
        <v>49</v>
      </c>
      <c r="D11">
        <v>0</v>
      </c>
      <c r="E11">
        <v>0</v>
      </c>
      <c r="G11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2115AE11-D2A9-419B-BCD6-50327C2087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01FC2B-6944-403C-BD60-7A56984EB5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3C9619-F3F1-4D83-9EE5-6D46DBD1C4EA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Network</vt:lpstr>
      <vt:lpstr>Make</vt:lpstr>
      <vt:lpstr>Store</vt:lpstr>
      <vt:lpstr>Move</vt:lpstr>
      <vt:lpstr>Deliver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2025-12-08T13:51:07Z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