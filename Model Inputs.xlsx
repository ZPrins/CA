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c73fb9c84d8c23a4/00 Work/01 Cement Simulation/00 Python/CA/"/>
    </mc:Choice>
  </mc:AlternateContent>
  <xr:revisionPtr revIDLastSave="4" documentId="11_36ABE5CF370C2A80F16EB01432D5BA90B9716B60" xr6:coauthVersionLast="47" xr6:coauthVersionMax="47" xr10:uidLastSave="{D1F9047F-9BB5-471C-98F7-786741967AA6}"/>
  <bookViews>
    <workbookView xWindow="-120" yWindow="-120" windowWidth="29040" windowHeight="15720" activeTab="2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</sheets>
  <definedNames>
    <definedName name="_xlnm._FilterDatabase" localSheetId="1" hidden="1">Network!$B$1:$K$66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4" i="2" l="1"/>
  <c r="N64" i="2"/>
  <c r="O64" i="2" s="1"/>
  <c r="M64" i="2"/>
  <c r="P63" i="2"/>
  <c r="A63" i="2" s="1" a="1"/>
  <c r="A63" i="2" s="1"/>
  <c r="N63" i="2"/>
  <c r="O63" i="2" s="1"/>
  <c r="M63" i="2"/>
  <c r="P62" i="2"/>
  <c r="N62" i="2"/>
  <c r="M62" i="2"/>
  <c r="P61" i="2"/>
  <c r="A61" i="2" s="1" a="1"/>
  <c r="A61" i="2" s="1"/>
  <c r="N61" i="2"/>
  <c r="M61" i="2"/>
  <c r="P60" i="2"/>
  <c r="N60" i="2"/>
  <c r="O60" i="2" s="1"/>
  <c r="M60" i="2"/>
  <c r="P59" i="2"/>
  <c r="A59" i="2" s="1" a="1"/>
  <c r="A59" i="2" s="1"/>
  <c r="N59" i="2"/>
  <c r="M59" i="2"/>
  <c r="P58" i="2"/>
  <c r="N58" i="2"/>
  <c r="O58" i="2" s="1"/>
  <c r="M58" i="2"/>
  <c r="P57" i="2"/>
  <c r="N57" i="2"/>
  <c r="O57" i="2" s="1"/>
  <c r="M57" i="2"/>
  <c r="P56" i="2"/>
  <c r="A56" i="2" s="1" a="1"/>
  <c r="A56" i="2" s="1"/>
  <c r="N56" i="2"/>
  <c r="O56" i="2" s="1"/>
  <c r="M56" i="2"/>
  <c r="P55" i="2"/>
  <c r="A55" i="2" s="1" a="1"/>
  <c r="A55" i="2" s="1"/>
  <c r="N55" i="2"/>
  <c r="O55" i="2" s="1"/>
  <c r="M55" i="2"/>
  <c r="P54" i="2"/>
  <c r="A54" i="2" s="1" a="1"/>
  <c r="A54" i="2" s="1"/>
  <c r="N54" i="2"/>
  <c r="M54" i="2"/>
  <c r="P53" i="2"/>
  <c r="A53" i="2" s="1" a="1"/>
  <c r="A53" i="2" s="1"/>
  <c r="N53" i="2"/>
  <c r="M53" i="2"/>
  <c r="P52" i="2"/>
  <c r="N52" i="2"/>
  <c r="O52" i="2" s="1"/>
  <c r="M52" i="2"/>
  <c r="P51" i="2"/>
  <c r="N51" i="2"/>
  <c r="M51" i="2"/>
  <c r="P50" i="2"/>
  <c r="N50" i="2"/>
  <c r="O50" i="2" s="1"/>
  <c r="M50" i="2"/>
  <c r="P49" i="2"/>
  <c r="N49" i="2"/>
  <c r="O49" i="2" s="1"/>
  <c r="M49" i="2"/>
  <c r="P48" i="2"/>
  <c r="N48" i="2"/>
  <c r="O48" i="2" s="1"/>
  <c r="M48" i="2"/>
  <c r="P47" i="2"/>
  <c r="N47" i="2"/>
  <c r="O47" i="2" s="1"/>
  <c r="M47" i="2"/>
  <c r="P46" i="2"/>
  <c r="N46" i="2"/>
  <c r="M46" i="2"/>
  <c r="P45" i="2"/>
  <c r="N45" i="2"/>
  <c r="M45" i="2"/>
  <c r="P44" i="2"/>
  <c r="N44" i="2"/>
  <c r="O44" i="2" s="1"/>
  <c r="M44" i="2"/>
  <c r="P43" i="2"/>
  <c r="O43" i="2"/>
  <c r="N43" i="2"/>
  <c r="M43" i="2"/>
  <c r="P42" i="2"/>
  <c r="N42" i="2"/>
  <c r="O42" i="2" s="1"/>
  <c r="M42" i="2"/>
  <c r="P41" i="2"/>
  <c r="N41" i="2"/>
  <c r="O41" i="2" s="1"/>
  <c r="M41" i="2"/>
  <c r="P40" i="2"/>
  <c r="N40" i="2"/>
  <c r="O40" i="2" s="1"/>
  <c r="M40" i="2"/>
  <c r="P39" i="2"/>
  <c r="N39" i="2"/>
  <c r="O39" i="2" s="1"/>
  <c r="M39" i="2"/>
  <c r="P38" i="2"/>
  <c r="N38" i="2"/>
  <c r="M38" i="2"/>
  <c r="P37" i="2"/>
  <c r="N37" i="2"/>
  <c r="M37" i="2"/>
  <c r="P36" i="2"/>
  <c r="N36" i="2"/>
  <c r="O36" i="2" s="1"/>
  <c r="M36" i="2"/>
  <c r="P35" i="2"/>
  <c r="N35" i="2"/>
  <c r="M35" i="2"/>
  <c r="P34" i="2"/>
  <c r="N34" i="2"/>
  <c r="O34" i="2" s="1"/>
  <c r="M34" i="2"/>
  <c r="P33" i="2"/>
  <c r="N33" i="2"/>
  <c r="O33" i="2" s="1"/>
  <c r="M33" i="2"/>
  <c r="P32" i="2"/>
  <c r="A32" i="2" s="1" a="1"/>
  <c r="A32" i="2" s="1"/>
  <c r="N32" i="2"/>
  <c r="O32" i="2" s="1"/>
  <c r="M32" i="2"/>
  <c r="P31" i="2"/>
  <c r="A31" i="2" s="1" a="1"/>
  <c r="A31" i="2" s="1"/>
  <c r="N31" i="2"/>
  <c r="O31" i="2" s="1"/>
  <c r="M31" i="2"/>
  <c r="P30" i="2"/>
  <c r="N30" i="2"/>
  <c r="M30" i="2"/>
  <c r="P29" i="2"/>
  <c r="N29" i="2"/>
  <c r="M29" i="2"/>
  <c r="P28" i="2"/>
  <c r="N28" i="2"/>
  <c r="O28" i="2" s="1"/>
  <c r="M28" i="2"/>
  <c r="P27" i="2"/>
  <c r="A27" i="2" s="1" a="1"/>
  <c r="A27" i="2" s="1"/>
  <c r="N27" i="2"/>
  <c r="M27" i="2"/>
  <c r="P26" i="2"/>
  <c r="N26" i="2"/>
  <c r="O26" i="2" s="1"/>
  <c r="M26" i="2"/>
  <c r="P25" i="2"/>
  <c r="N25" i="2"/>
  <c r="O25" i="2" s="1"/>
  <c r="M25" i="2"/>
  <c r="P24" i="2"/>
  <c r="N24" i="2"/>
  <c r="O24" i="2" s="1"/>
  <c r="M24" i="2"/>
  <c r="P23" i="2"/>
  <c r="N23" i="2"/>
  <c r="O23" i="2" s="1"/>
  <c r="M23" i="2"/>
  <c r="P22" i="2"/>
  <c r="N22" i="2"/>
  <c r="M22" i="2"/>
  <c r="P21" i="2"/>
  <c r="N21" i="2"/>
  <c r="M21" i="2"/>
  <c r="P20" i="2"/>
  <c r="N20" i="2"/>
  <c r="O20" i="2" s="1"/>
  <c r="M20" i="2"/>
  <c r="P19" i="2"/>
  <c r="O19" i="2"/>
  <c r="N19" i="2"/>
  <c r="M19" i="2"/>
  <c r="P18" i="2"/>
  <c r="N18" i="2"/>
  <c r="O18" i="2" s="1"/>
  <c r="M18" i="2"/>
  <c r="P17" i="2"/>
  <c r="N17" i="2"/>
  <c r="O17" i="2" s="1"/>
  <c r="M17" i="2"/>
  <c r="P16" i="2"/>
  <c r="N16" i="2"/>
  <c r="O16" i="2" s="1"/>
  <c r="M16" i="2"/>
  <c r="P15" i="2"/>
  <c r="N15" i="2"/>
  <c r="O15" i="2" s="1"/>
  <c r="M15" i="2"/>
  <c r="P14" i="2"/>
  <c r="O14" i="2"/>
  <c r="N14" i="2"/>
  <c r="M14" i="2"/>
  <c r="P13" i="2"/>
  <c r="N13" i="2"/>
  <c r="M13" i="2"/>
  <c r="P12" i="2"/>
  <c r="N12" i="2"/>
  <c r="O12" i="2" s="1"/>
  <c r="M12" i="2"/>
  <c r="P11" i="2"/>
  <c r="O11" i="2"/>
  <c r="N11" i="2"/>
  <c r="M11" i="2"/>
  <c r="P10" i="2"/>
  <c r="N10" i="2"/>
  <c r="O10" i="2" s="1"/>
  <c r="M10" i="2"/>
  <c r="P9" i="2"/>
  <c r="N9" i="2"/>
  <c r="O9" i="2" s="1"/>
  <c r="M9" i="2"/>
  <c r="P8" i="2"/>
  <c r="N8" i="2"/>
  <c r="O8" i="2" s="1"/>
  <c r="M8" i="2"/>
  <c r="P7" i="2"/>
  <c r="N7" i="2"/>
  <c r="O7" i="2" s="1"/>
  <c r="M7" i="2"/>
  <c r="P6" i="2"/>
  <c r="N6" i="2"/>
  <c r="M6" i="2"/>
  <c r="O29" i="2" s="1"/>
  <c r="P5" i="2"/>
  <c r="N5" i="2"/>
  <c r="M5" i="2"/>
  <c r="P4" i="2"/>
  <c r="A4" i="2" s="1" a="1"/>
  <c r="A4" i="2" s="1"/>
  <c r="N4" i="2"/>
  <c r="O4" i="2" s="1"/>
  <c r="M4" i="2"/>
  <c r="P3" i="2"/>
  <c r="A3" i="2" s="1" a="1"/>
  <c r="A3" i="2" s="1"/>
  <c r="O3" i="2"/>
  <c r="N3" i="2"/>
  <c r="M3" i="2"/>
  <c r="P2" i="2"/>
  <c r="N2" i="2"/>
  <c r="O2" i="2" s="1"/>
  <c r="M2" i="2"/>
  <c r="A43" i="2" l="1" a="1"/>
  <c r="A43" i="2" s="1"/>
  <c r="A45" i="2" s="1" a="1"/>
  <c r="A45" i="2" s="1"/>
  <c r="A62" i="2" a="1"/>
  <c r="A62" i="2" s="1"/>
  <c r="A6" i="2" a="1"/>
  <c r="A6" i="2" s="1"/>
  <c r="A64" i="2" a="1"/>
  <c r="A64" i="2" s="1"/>
  <c r="A33" i="2" a="1"/>
  <c r="A33" i="2" s="1"/>
  <c r="A49" i="2" a="1"/>
  <c r="A49" i="2" s="1"/>
  <c r="A57" i="2" a="1"/>
  <c r="A57" i="2" s="1"/>
  <c r="A60" i="2" a="1"/>
  <c r="A60" i="2" s="1"/>
  <c r="O54" i="2"/>
  <c r="O62" i="2"/>
  <c r="O35" i="2"/>
  <c r="O38" i="2"/>
  <c r="A28" i="2" a="1"/>
  <c r="A28" i="2" s="1"/>
  <c r="A30" i="2" s="1" a="1"/>
  <c r="A30" i="2" s="1"/>
  <c r="A42" i="2" a="1"/>
  <c r="A42" i="2" s="1"/>
  <c r="A44" i="2" s="1" a="1"/>
  <c r="A44" i="2" s="1"/>
  <c r="A58" i="2" a="1"/>
  <c r="A58" i="2" s="1"/>
  <c r="O22" i="2"/>
  <c r="A34" i="2" a="1"/>
  <c r="A34" i="2" s="1"/>
  <c r="O46" i="2"/>
  <c r="A18" i="2" a="1"/>
  <c r="A18" i="2" s="1"/>
  <c r="A5" i="2" a="1"/>
  <c r="A5" i="2" s="1"/>
  <c r="A29" i="2" a="1"/>
  <c r="A29" i="2" s="1"/>
  <c r="O30" i="2"/>
  <c r="O6" i="2"/>
  <c r="O5" i="2"/>
  <c r="O37" i="2"/>
  <c r="O53" i="2"/>
  <c r="O61" i="2"/>
  <c r="O51" i="2"/>
  <c r="O21" i="2"/>
  <c r="O59" i="2"/>
  <c r="O13" i="2"/>
  <c r="O45" i="2"/>
  <c r="O27" i="2"/>
  <c r="A46" i="2" l="1" a="1"/>
  <c r="A46" i="2" s="1"/>
  <c r="A47" i="2" s="1" a="1"/>
  <c r="A47" i="2" s="1"/>
  <c r="A51" i="2" a="1"/>
  <c r="A51" i="2" s="1"/>
  <c r="A52" i="2" s="1" a="1"/>
  <c r="A52" i="2" s="1"/>
  <c r="A36" i="2" a="1"/>
  <c r="A36" i="2" s="1"/>
  <c r="A50" i="2" a="1"/>
  <c r="A50" i="2" s="1"/>
  <c r="A19" i="2" a="1"/>
  <c r="A19" i="2" s="1"/>
  <c r="A35" i="2" a="1"/>
  <c r="A35" i="2" s="1"/>
  <c r="A7" i="2" a="1"/>
  <c r="A7" i="2" s="1"/>
  <c r="A8" i="2" s="1" a="1"/>
  <c r="A8" i="2" s="1"/>
  <c r="A41" i="2" l="1" a="1"/>
  <c r="A41" i="2" s="1"/>
  <c r="A38" i="2" a="1"/>
  <c r="A38" i="2" s="1"/>
  <c r="A20" i="2" a="1"/>
  <c r="A20" i="2" s="1"/>
  <c r="A23" i="2" s="1" a="1"/>
  <c r="A23" i="2" s="1"/>
  <c r="A24" i="2" s="1" a="1"/>
  <c r="A24" i="2" s="1"/>
  <c r="A21" i="2" a="1"/>
  <c r="A21" i="2" s="1"/>
  <c r="A22" i="2" s="1" a="1"/>
  <c r="A22" i="2" s="1"/>
  <c r="A9" i="2" a="1"/>
  <c r="A9" i="2" s="1"/>
  <c r="A39" i="2" a="1"/>
  <c r="A39" i="2" s="1"/>
  <c r="A37" i="2" a="1"/>
  <c r="A37" i="2" s="1"/>
  <c r="A40" i="2" a="1"/>
  <c r="A40" i="2" s="1"/>
  <c r="A48" i="2" a="1"/>
  <c r="A48" i="2" s="1"/>
  <c r="A25" i="2" l="1" a="1"/>
  <c r="A25" i="2" s="1"/>
  <c r="A26" i="2" s="1" a="1"/>
  <c r="A26" i="2" s="1"/>
  <c r="A11" i="2" a="1"/>
  <c r="A11" i="2" s="1"/>
  <c r="A12" i="2" s="1" a="1"/>
  <c r="A12" i="2" s="1"/>
  <c r="A10" i="2" a="1"/>
  <c r="A10" i="2" s="1"/>
  <c r="A15" i="2" l="1" a="1"/>
  <c r="A15" i="2" s="1"/>
  <c r="A14" i="2" a="1"/>
  <c r="A14" i="2" s="1"/>
  <c r="A16" i="2" a="1"/>
  <c r="A16" i="2" s="1"/>
  <c r="A17" i="2" s="1" a="1"/>
  <c r="A17" i="2" s="1"/>
  <c r="A13" i="2" a="1"/>
  <c r="A13" i="2" s="1"/>
</calcChain>
</file>

<file path=xl/sharedStrings.xml><?xml version="1.0" encoding="utf-8"?>
<sst xmlns="http://schemas.openxmlformats.org/spreadsheetml/2006/main" count="745" uniqueCount="73">
  <si>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</si>
  <si>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</si>
  <si>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</si>
  <si>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</si>
  <si>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</si>
  <si>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</si>
  <si>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</si>
  <si>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</si>
  <si>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</si>
  <si>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</si>
  <si>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</si>
  <si>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</si>
  <si>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</si>
  <si>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</si>
  <si>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</si>
  <si>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</si>
  <si>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</si>
  <si>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</si>
  <si>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</si>
  <si>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</si>
  <si>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</si>
  <si>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</si>
  <si>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</si>
  <si>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</si>
  <si>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</si>
  <si>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</si>
  <si>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</si>
  <si>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</si>
  <si>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</si>
  <si>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</si>
  <si>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</si>
  <si>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</si>
  <si>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</si>
  <si>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</si>
  <si>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</si>
  <si>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</si>
  <si>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</si>
  <si>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</si>
  <si>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</si>
  <si>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</si>
  <si>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</si>
  <si>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</si>
  <si>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</si>
  <si>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</si>
  <si>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</si>
  <si>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Davenport</t>
  </si>
  <si>
    <t>Melbourne</t>
  </si>
  <si>
    <t>Osborn</t>
  </si>
  <si>
    <t>Import</t>
  </si>
  <si>
    <t>CL_STORE_I</t>
  </si>
  <si>
    <t>CM10</t>
  </si>
  <si>
    <t>CM11</t>
  </si>
  <si>
    <t>VRM</t>
  </si>
  <si>
    <t>Albury</t>
  </si>
  <si>
    <t>Wagga</t>
  </si>
  <si>
    <t>Mean Production Rate (Tons/hr)</t>
  </si>
  <si>
    <t>Std Dev of Production Rate (Tons/Hr)</t>
  </si>
  <si>
    <t>Planned Maintenance Dates (Days of year)</t>
  </si>
  <si>
    <t>Unplanned downtime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</si>
  <si>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</si>
  <si>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</si>
  <si>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</si>
  <si>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</si>
  <si>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nan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</si>
  <si>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</si>
  <si>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</si>
  <si>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</si>
  <si>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</si>
  <si>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</si>
  <si>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</si>
  <si>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</si>
  <si>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</si>
  <si>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Demand per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</si>
</sst>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66"/>
  <sheetViews>
    <sheetView workbookViewId="0">
      <selection activeCell="N23" sqref="N23"/>
    </sheetView>
  </sheetViews>
  <sheetFormatPr defaultRowHeight="15" x14ac:dyDescent="0.25"/>
  <cols>
    <col min="2" max="8" width="16.85546875" customWidth="1"/>
    <col min="9" max="9" width="12.85546875" bestFit="1" customWidth="1"/>
    <col min="10" max="10" width="14.85546875" bestFit="1" customWidth="1"/>
    <col min="11" max="11" width="14.85546875" customWidth="1"/>
    <col min="13" max="13" width="30" bestFit="1" customWidth="1"/>
    <col min="14" max="14" width="29.28515625" bestFit="1" customWidth="1"/>
  </cols>
  <sheetData>
    <row r="1" spans="1:17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7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7" x14ac:dyDescent="0.25">
      <c r="A3" s="1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</row>
    <row r="4" spans="1:17" x14ac:dyDescent="0.25">
      <c r="A4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7" x14ac:dyDescent="0.25">
      <c r="A5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7" x14ac:dyDescent="0.25">
      <c r="A6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7" x14ac:dyDescent="0.25">
      <c r="A7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7" x14ac:dyDescent="0.25">
      <c r="A8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7" x14ac:dyDescent="0.25">
      <c r="A9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7" x14ac:dyDescent="0.25">
      <c r="A10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7" x14ac:dyDescent="0.25">
      <c r="A1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7" x14ac:dyDescent="0.25">
      <c r="A12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7" x14ac:dyDescent="0.25">
      <c r="A13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7" x14ac:dyDescent="0.25">
      <c r="A14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2</v>
      </c>
      <c r="P14" t="str">
        <f t="shared" si="3"/>
        <v>GladstoneMoveGP</v>
      </c>
    </row>
    <row r="15" spans="1:17" x14ac:dyDescent="0.25">
      <c r="A15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7" x14ac:dyDescent="0.25">
      <c r="A16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>
        <f t="array" ref="A17">IF(ISNA(_xlfn.XLOOKUP(P17,$P$2:P16,$A$2:A16)),IF(COUNTIFS($P$2:P17,P17)=1,IF(COUNTIFS($C$2:C16,C17)=0,1,_xlfn.MAXIFS($A$2:A16,$C$2:C16,C17)+1),A16),_xlfn.XLOOKUP(P17,$P$2:P16,$A$2:A16))</f>
        <v>7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H17" t="s">
        <v>22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NoneGP</v>
      </c>
      <c r="O17">
        <f t="shared" si="2"/>
        <v>0</v>
      </c>
      <c r="P17" t="str">
        <f t="shared" si="3"/>
        <v>GladstoneDeliverGP</v>
      </c>
    </row>
    <row r="18" spans="1:16" x14ac:dyDescent="0.25">
      <c r="A18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1</v>
      </c>
      <c r="P19" t="str">
        <f t="shared" si="3"/>
        <v>RailtonStoreCL</v>
      </c>
    </row>
    <row r="20" spans="1:16" x14ac:dyDescent="0.25">
      <c r="A20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1</v>
      </c>
      <c r="P20" t="str">
        <f t="shared" si="3"/>
        <v>RailtonStoreCL</v>
      </c>
    </row>
    <row r="21" spans="1:16" x14ac:dyDescent="0.25">
      <c r="A2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33</v>
      </c>
      <c r="K21">
        <v>2</v>
      </c>
      <c r="L21" t="s">
        <v>27</v>
      </c>
      <c r="M21" t="str">
        <f t="shared" si="0"/>
        <v>RailtonMakeCM4CL</v>
      </c>
      <c r="N21" t="str">
        <f t="shared" si="1"/>
        <v>RailtonStoreGP_STOREGP</v>
      </c>
      <c r="O21">
        <f t="shared" si="2"/>
        <v>2</v>
      </c>
      <c r="P21" t="str">
        <f t="shared" si="3"/>
        <v>RailtonMakeGP</v>
      </c>
    </row>
    <row r="22" spans="1:16" x14ac:dyDescent="0.25">
      <c r="A22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33</v>
      </c>
      <c r="K22">
        <v>2</v>
      </c>
      <c r="L22" t="s">
        <v>27</v>
      </c>
      <c r="M22" t="str">
        <f t="shared" si="0"/>
        <v>RailtonMakeCM5CL</v>
      </c>
      <c r="N22" t="str">
        <f t="shared" si="1"/>
        <v>RailtonStoreGP_STOREGP</v>
      </c>
      <c r="O22">
        <f t="shared" si="2"/>
        <v>2</v>
      </c>
      <c r="P22" t="str">
        <f t="shared" si="3"/>
        <v>RailtonMakeGP</v>
      </c>
    </row>
    <row r="23" spans="1:16" x14ac:dyDescent="0.25">
      <c r="A23">
        <f t="array" ref="A23">IF(ISNA(_xlfn.XLOOKUP(P23,$P$2:P22,$A$2:A22)),IF(COUNTIFS($P$2:P23,P23)=1,IF(COUNTIFS($C$2:C22,C23)=0,1,_xlfn.MAXIFS($A$2:A22,$C$2:C22,C23)+1),A22),_xlfn.XLOOKUP(P23,$P$2:P22,$A$2:A22))</f>
        <v>4</v>
      </c>
      <c r="B23" t="s">
        <v>19</v>
      </c>
      <c r="C23" t="s">
        <v>41</v>
      </c>
      <c r="D23" t="s">
        <v>33</v>
      </c>
      <c r="E23" t="s">
        <v>19</v>
      </c>
      <c r="F23" t="s">
        <v>25</v>
      </c>
      <c r="G23" t="s">
        <v>19</v>
      </c>
      <c r="H23" t="s">
        <v>35</v>
      </c>
      <c r="I23" t="s">
        <v>41</v>
      </c>
      <c r="J23" t="s">
        <v>36</v>
      </c>
      <c r="K23">
        <v>2</v>
      </c>
      <c r="L23" t="s">
        <v>27</v>
      </c>
      <c r="M23" t="str">
        <f t="shared" si="0"/>
        <v>RailtonStoreGP_STOREGP</v>
      </c>
      <c r="N23" t="str">
        <f t="shared" si="1"/>
        <v>RailtonDeliverTRUCKGP</v>
      </c>
      <c r="O23">
        <f t="shared" si="2"/>
        <v>1</v>
      </c>
      <c r="P23" t="str">
        <f t="shared" si="3"/>
        <v>RailtonStoreGP</v>
      </c>
    </row>
    <row r="24" spans="1:16" x14ac:dyDescent="0.25">
      <c r="A24">
        <f t="array" ref="A24">IF(ISNA(_xlfn.XLOOKUP(P24,$P$2:P23,$A$2:A23)),IF(COUNTIFS($P$2:P24,P24)=1,IF(COUNTIFS($C$2:C23,C24)=0,1,_xlfn.MAXIFS($A$2:A23,$C$2:C23,C24)+1),A23),_xlfn.XLOOKUP(P24,$P$2:P23,$A$2:A23))</f>
        <v>4</v>
      </c>
      <c r="B24" t="s">
        <v>19</v>
      </c>
      <c r="C24" t="s">
        <v>41</v>
      </c>
      <c r="D24" t="s">
        <v>33</v>
      </c>
      <c r="E24" t="s">
        <v>19</v>
      </c>
      <c r="F24" t="s">
        <v>25</v>
      </c>
      <c r="G24" t="s">
        <v>19</v>
      </c>
      <c r="H24" t="s">
        <v>28</v>
      </c>
      <c r="I24" t="s">
        <v>41</v>
      </c>
      <c r="J24" t="s">
        <v>34</v>
      </c>
      <c r="K24">
        <v>2</v>
      </c>
      <c r="L24" t="s">
        <v>27</v>
      </c>
      <c r="M24" t="str">
        <f t="shared" si="0"/>
        <v>RailtonStoreGP_STOREGP</v>
      </c>
      <c r="N24" t="str">
        <f t="shared" si="1"/>
        <v>RailtonMoveTRAINGP</v>
      </c>
      <c r="O24">
        <f t="shared" si="2"/>
        <v>1</v>
      </c>
      <c r="P24" t="str">
        <f t="shared" si="3"/>
        <v>RailtonStoreGP</v>
      </c>
    </row>
    <row r="25" spans="1:16" x14ac:dyDescent="0.25">
      <c r="A25">
        <f t="array" ref="A25">IF(ISNA(_xlfn.XLOOKUP(P25,$P$2:P24,$A$2:A24)),IF(COUNTIFS($P$2:P25,P25)=1,IF(COUNTIFS($C$2:C24,C25)=0,1,_xlfn.MAXIFS($A$2:A24,$C$2:C24,C25)+1),A24),_xlfn.XLOOKUP(P25,$P$2:P24,$A$2:A24))</f>
        <v>5</v>
      </c>
      <c r="B25" t="s">
        <v>19</v>
      </c>
      <c r="C25" t="s">
        <v>41</v>
      </c>
      <c r="D25" t="s">
        <v>34</v>
      </c>
      <c r="E25" t="s">
        <v>19</v>
      </c>
      <c r="F25" t="s">
        <v>28</v>
      </c>
      <c r="G25" t="s">
        <v>19</v>
      </c>
      <c r="H25" t="s">
        <v>25</v>
      </c>
      <c r="I25" t="s">
        <v>45</v>
      </c>
      <c r="J25" t="s">
        <v>33</v>
      </c>
      <c r="K25">
        <v>3</v>
      </c>
      <c r="L25" t="s">
        <v>27</v>
      </c>
      <c r="M25" t="str">
        <f t="shared" si="0"/>
        <v>RailtonMoveTRAINGP</v>
      </c>
      <c r="N25" t="str">
        <f t="shared" si="1"/>
        <v>DavenportStoreGP_STOREGP</v>
      </c>
      <c r="O25">
        <f t="shared" si="2"/>
        <v>1</v>
      </c>
      <c r="P25" t="str">
        <f t="shared" si="3"/>
        <v>RailtonMoveGP</v>
      </c>
    </row>
    <row r="26" spans="1:16" x14ac:dyDescent="0.25">
      <c r="A26">
        <f t="array" ref="A26">IF(ISNA(_xlfn.XLOOKUP(P26,$P$2:P25,$A$2:A25)),IF(COUNTIFS($P$2:P26,P26)=1,IF(COUNTIFS($C$2:C25,C26)=0,1,_xlfn.MAXIFS($A$2:A25,$C$2:C25,C26)+1),A25),_xlfn.XLOOKUP(P26,$P$2:P25,$A$2:A25))</f>
        <v>6</v>
      </c>
      <c r="B26" t="s">
        <v>19</v>
      </c>
      <c r="C26" t="s">
        <v>41</v>
      </c>
      <c r="D26" t="s">
        <v>36</v>
      </c>
      <c r="E26" t="s">
        <v>19</v>
      </c>
      <c r="F26" t="s">
        <v>35</v>
      </c>
      <c r="G26" t="s">
        <v>19</v>
      </c>
      <c r="H26" t="s">
        <v>22</v>
      </c>
      <c r="K26">
        <v>4</v>
      </c>
      <c r="L26" t="s">
        <v>27</v>
      </c>
      <c r="M26" t="str">
        <f t="shared" si="0"/>
        <v>RailtonDeliverTRUCKGP</v>
      </c>
      <c r="N26" t="str">
        <f t="shared" si="1"/>
        <v>NoneGP</v>
      </c>
      <c r="O26">
        <f t="shared" si="2"/>
        <v>0</v>
      </c>
      <c r="P26" t="str">
        <f t="shared" si="3"/>
        <v>RailtonDeliverGP</v>
      </c>
    </row>
    <row r="27" spans="1:16" x14ac:dyDescent="0.25">
      <c r="A27">
        <f t="array" ref="A27">IF(ISNA(_xlfn.XLOOKUP(P27,$P$2:P26,$A$2:A26)),IF(COUNTIFS($P$2:P27,P27)=1,IF(COUNTIFS($C$2:C26,C27)=0,1,_xlfn.MAXIFS($A$2:A26,$C$2:C26,C27)+1),A26),_xlfn.XLOOKUP(P27,$P$2:P26,$A$2:A26))</f>
        <v>1</v>
      </c>
      <c r="B27" t="s">
        <v>19</v>
      </c>
      <c r="C27" t="s">
        <v>45</v>
      </c>
      <c r="D27" t="s">
        <v>33</v>
      </c>
      <c r="E27" t="s">
        <v>19</v>
      </c>
      <c r="F27" t="s">
        <v>25</v>
      </c>
      <c r="G27" t="s">
        <v>19</v>
      </c>
      <c r="H27" t="s">
        <v>28</v>
      </c>
      <c r="I27" t="s">
        <v>45</v>
      </c>
      <c r="J27" t="s">
        <v>29</v>
      </c>
      <c r="K27">
        <v>2</v>
      </c>
      <c r="L27" t="s">
        <v>27</v>
      </c>
      <c r="M27" t="str">
        <f t="shared" si="0"/>
        <v>DavenportStoreGP_STOREGP</v>
      </c>
      <c r="N27" t="str">
        <f t="shared" si="1"/>
        <v>DavenportMoveSHIPGP</v>
      </c>
      <c r="O27">
        <f t="shared" si="2"/>
        <v>3</v>
      </c>
      <c r="P27" t="str">
        <f t="shared" si="3"/>
        <v>DavenportStoreGP</v>
      </c>
    </row>
    <row r="28" spans="1:16" x14ac:dyDescent="0.25">
      <c r="A28">
        <f t="array" ref="A28">IF(ISNA(_xlfn.XLOOKUP(P28,$P$2:P27,$A$2:A27)),IF(COUNTIFS($P$2:P28,P28)=1,IF(COUNTIFS($C$2:C27,C28)=0,1,_xlfn.MAXIFS($A$2:A27,$C$2:C27,C28)+1),A27),_xlfn.XLOOKUP(P28,$P$2:P27,$A$2:A27))</f>
        <v>2</v>
      </c>
      <c r="B28" t="s">
        <v>19</v>
      </c>
      <c r="C28" t="s">
        <v>45</v>
      </c>
      <c r="D28" t="s">
        <v>29</v>
      </c>
      <c r="E28" t="s">
        <v>19</v>
      </c>
      <c r="F28" t="s">
        <v>28</v>
      </c>
      <c r="G28" t="s">
        <v>19</v>
      </c>
      <c r="H28" t="s">
        <v>25</v>
      </c>
      <c r="I28" t="s">
        <v>46</v>
      </c>
      <c r="J28" t="s">
        <v>33</v>
      </c>
      <c r="K28">
        <v>3</v>
      </c>
      <c r="L28" t="s">
        <v>27</v>
      </c>
      <c r="M28" t="str">
        <f t="shared" si="0"/>
        <v>DavenportMoveSHIPGP</v>
      </c>
      <c r="N28" t="str">
        <f t="shared" si="1"/>
        <v>MelbourneStoreGP_STOREGP</v>
      </c>
      <c r="O28">
        <f t="shared" si="2"/>
        <v>1</v>
      </c>
      <c r="P28" t="str">
        <f t="shared" si="3"/>
        <v>DavenportMoveGP</v>
      </c>
    </row>
    <row r="29" spans="1:16" x14ac:dyDescent="0.25">
      <c r="A29">
        <f t="array" ref="A29">IF(ISNA(_xlfn.XLOOKUP(P29,$P$2:P28,$A$2:A28)),IF(COUNTIFS($P$2:P29,P29)=1,IF(COUNTIFS($C$2:C28,C29)=0,1,_xlfn.MAXIFS($A$2:A28,$C$2:C28,C29)+1),A28),_xlfn.XLOOKUP(P29,$P$2:P28,$A$2:A28))</f>
        <v>2</v>
      </c>
      <c r="B29" t="s">
        <v>19</v>
      </c>
      <c r="C29" t="s">
        <v>45</v>
      </c>
      <c r="D29" t="s">
        <v>29</v>
      </c>
      <c r="E29" t="s">
        <v>19</v>
      </c>
      <c r="F29" t="s">
        <v>28</v>
      </c>
      <c r="G29" t="s">
        <v>19</v>
      </c>
      <c r="H29" t="s">
        <v>25</v>
      </c>
      <c r="I29" t="s">
        <v>47</v>
      </c>
      <c r="J29" t="s">
        <v>33</v>
      </c>
      <c r="K29">
        <v>3</v>
      </c>
      <c r="L29" t="s">
        <v>27</v>
      </c>
      <c r="M29" t="str">
        <f t="shared" si="0"/>
        <v>DavenportMoveSHIPGP</v>
      </c>
      <c r="N29" t="str">
        <f t="shared" si="1"/>
        <v>OsbornStoreGP_STOREGP</v>
      </c>
      <c r="O29">
        <f t="shared" si="2"/>
        <v>1</v>
      </c>
      <c r="P29" t="str">
        <f t="shared" si="3"/>
        <v>DavenportMoveGP</v>
      </c>
    </row>
    <row r="30" spans="1:16" x14ac:dyDescent="0.25">
      <c r="A30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45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39</v>
      </c>
      <c r="J30" t="s">
        <v>33</v>
      </c>
      <c r="K30">
        <v>3</v>
      </c>
      <c r="L30" t="s">
        <v>27</v>
      </c>
      <c r="M30" t="str">
        <f t="shared" si="0"/>
        <v>DavenportMoveSHIPGP</v>
      </c>
      <c r="N30" t="str">
        <f t="shared" si="1"/>
        <v>NewcastleStoreGP_STOREGP</v>
      </c>
      <c r="O30">
        <f t="shared" si="2"/>
        <v>2</v>
      </c>
      <c r="P30" t="str">
        <f t="shared" si="3"/>
        <v>DavenportMoveGP</v>
      </c>
    </row>
    <row r="31" spans="1:16" x14ac:dyDescent="0.25">
      <c r="A31">
        <f t="array" ref="A31">IF(ISNA(_xlfn.XLOOKUP(P31,$P$2:P30,$A$2:A30)),IF(COUNTIFS($P$2:P31,P31)=1,IF(COUNTIFS($C$2:C30,C31)=0,1,_xlfn.MAXIFS($A$2:A30,$C$2:C30,C31)+1),A30),_xlfn.XLOOKUP(P31,$P$2:P30,$A$2:A30))</f>
        <v>1</v>
      </c>
      <c r="B31" t="s">
        <v>19</v>
      </c>
      <c r="C31" t="s">
        <v>48</v>
      </c>
      <c r="D31" t="s">
        <v>26</v>
      </c>
      <c r="E31" t="s">
        <v>24</v>
      </c>
      <c r="F31" t="s">
        <v>25</v>
      </c>
      <c r="G31" t="s">
        <v>24</v>
      </c>
      <c r="H31" t="s">
        <v>28</v>
      </c>
      <c r="I31" t="s">
        <v>48</v>
      </c>
      <c r="J31" t="s">
        <v>29</v>
      </c>
      <c r="K31">
        <v>2</v>
      </c>
      <c r="L31" t="s">
        <v>27</v>
      </c>
      <c r="M31" t="str">
        <f t="shared" si="0"/>
        <v>ImportStoreCL_STORECL</v>
      </c>
      <c r="N31" t="str">
        <f t="shared" si="1"/>
        <v>ImportMoveSHIPCL</v>
      </c>
      <c r="O31">
        <f t="shared" si="2"/>
        <v>2</v>
      </c>
      <c r="P31" t="str">
        <f t="shared" si="3"/>
        <v>ImportStoreCL</v>
      </c>
    </row>
    <row r="32" spans="1:16" x14ac:dyDescent="0.25">
      <c r="A32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48</v>
      </c>
      <c r="D32" t="s">
        <v>29</v>
      </c>
      <c r="E32" t="s">
        <v>24</v>
      </c>
      <c r="F32" t="s">
        <v>28</v>
      </c>
      <c r="G32" t="s">
        <v>24</v>
      </c>
      <c r="H32" t="s">
        <v>28</v>
      </c>
      <c r="I32" t="s">
        <v>38</v>
      </c>
      <c r="J32" t="s">
        <v>49</v>
      </c>
      <c r="K32">
        <v>3</v>
      </c>
      <c r="L32" t="s">
        <v>27</v>
      </c>
      <c r="M32" t="str">
        <f t="shared" si="0"/>
        <v>ImportMoveSHIPCL</v>
      </c>
      <c r="N32" t="str">
        <f t="shared" si="1"/>
        <v>Port KemblaMoveCL_STORE_ICL</v>
      </c>
      <c r="O32">
        <f t="shared" si="2"/>
        <v>0</v>
      </c>
      <c r="P32" t="str">
        <f t="shared" si="3"/>
        <v>ImportMoveCL</v>
      </c>
    </row>
    <row r="33" spans="1:16" x14ac:dyDescent="0.25">
      <c r="A33">
        <f t="array" ref="A33">IF(ISNA(_xlfn.XLOOKUP(P33,$P$2:P32,$A$2:A32)),IF(COUNTIFS($P$2:P33,P33)=1,IF(COUNTIFS($C$2:C32,C33)=0,1,_xlfn.MAXIFS($A$2:A32,$C$2:C32,C33)+1),A32),_xlfn.XLOOKUP(P33,$P$2:P32,$A$2:A32))</f>
        <v>2</v>
      </c>
      <c r="B33" t="s">
        <v>19</v>
      </c>
      <c r="C33" t="s">
        <v>48</v>
      </c>
      <c r="D33" t="s">
        <v>29</v>
      </c>
      <c r="E33" t="s">
        <v>24</v>
      </c>
      <c r="F33" t="s">
        <v>28</v>
      </c>
      <c r="G33" t="s">
        <v>24</v>
      </c>
      <c r="H33" t="s">
        <v>28</v>
      </c>
      <c r="I33" t="s">
        <v>30</v>
      </c>
      <c r="J33" t="s">
        <v>49</v>
      </c>
      <c r="K33">
        <v>3</v>
      </c>
      <c r="L33" t="s">
        <v>27</v>
      </c>
      <c r="M33" t="str">
        <f t="shared" si="0"/>
        <v>ImportMoveSHIPCL</v>
      </c>
      <c r="N33" t="str">
        <f t="shared" si="1"/>
        <v>Bulwer IslandMoveCL_STORE_ICL</v>
      </c>
      <c r="O33">
        <f t="shared" si="2"/>
        <v>0</v>
      </c>
      <c r="P33" t="str">
        <f t="shared" si="3"/>
        <v>ImportMoveCL</v>
      </c>
    </row>
    <row r="34" spans="1:16" x14ac:dyDescent="0.25">
      <c r="A34">
        <f t="array" ref="A34">IF(ISNA(_xlfn.XLOOKUP(P34,$P$2:P33,$A$2:A33)),IF(COUNTIFS($P$2:P34,P34)=1,IF(COUNTIFS($C$2:C33,C34)=0,1,_xlfn.MAXIFS($A$2:A33,$C$2:C33,C34)+1),A33),_xlfn.XLOOKUP(P34,$P$2:P33,$A$2:A33))</f>
        <v>1</v>
      </c>
      <c r="B34" t="s">
        <v>19</v>
      </c>
      <c r="C34" t="s">
        <v>30</v>
      </c>
      <c r="D34" t="s">
        <v>50</v>
      </c>
      <c r="E34" t="s">
        <v>24</v>
      </c>
      <c r="F34" t="s">
        <v>23</v>
      </c>
      <c r="G34" t="s">
        <v>19</v>
      </c>
      <c r="H34" t="s">
        <v>25</v>
      </c>
      <c r="I34" t="s">
        <v>30</v>
      </c>
      <c r="J34" t="s">
        <v>33</v>
      </c>
      <c r="K34">
        <v>1</v>
      </c>
      <c r="L34" t="s">
        <v>27</v>
      </c>
      <c r="M34" t="str">
        <f t="shared" ref="M34:M64" si="4">C34&amp;F34&amp;D34&amp;E34</f>
        <v>Bulwer IslandMakeCM10CL</v>
      </c>
      <c r="N34" t="str">
        <f t="shared" ref="N34:N64" si="5">I34&amp;H34&amp;J34&amp;G34</f>
        <v>Bulwer IslandStoreGP_STOREGP</v>
      </c>
      <c r="O34">
        <f t="shared" ref="O34:O65" si="6">COUNTIFS(M:M,N34)</f>
        <v>1</v>
      </c>
      <c r="P34" t="str">
        <f t="shared" ref="P34:P64" si="7">C34&amp;F34&amp;G34</f>
        <v>Bulwer IslandMakeGP</v>
      </c>
    </row>
    <row r="35" spans="1:16" x14ac:dyDescent="0.25">
      <c r="A35">
        <f t="array" ref="A35">IF(ISNA(_xlfn.XLOOKUP(P35,$P$2:P34,$A$2:A34)),IF(COUNTIFS($P$2:P35,P35)=1,IF(COUNTIFS($C$2:C34,C35)=0,1,_xlfn.MAXIFS($A$2:A34,$C$2:C34,C35)+1),A34),_xlfn.XLOOKUP(P35,$P$2:P34,$A$2:A34))</f>
        <v>1</v>
      </c>
      <c r="B35" t="s">
        <v>19</v>
      </c>
      <c r="C35" t="s">
        <v>30</v>
      </c>
      <c r="D35" t="s">
        <v>51</v>
      </c>
      <c r="E35" t="s">
        <v>24</v>
      </c>
      <c r="F35" t="s">
        <v>23</v>
      </c>
      <c r="G35" t="s">
        <v>19</v>
      </c>
      <c r="H35" t="s">
        <v>25</v>
      </c>
      <c r="I35" t="s">
        <v>30</v>
      </c>
      <c r="J35" t="s">
        <v>33</v>
      </c>
      <c r="K35">
        <v>1</v>
      </c>
      <c r="L35" t="s">
        <v>27</v>
      </c>
      <c r="M35" t="str">
        <f t="shared" si="4"/>
        <v>Bulwer IslandMakeCM11CL</v>
      </c>
      <c r="N35" t="str">
        <f t="shared" si="5"/>
        <v>Bulwer IslandStoreGP_STOREGP</v>
      </c>
      <c r="O35">
        <f t="shared" si="6"/>
        <v>1</v>
      </c>
      <c r="P35" t="str">
        <f t="shared" si="7"/>
        <v>Bulwer IslandMakeGP</v>
      </c>
    </row>
    <row r="36" spans="1:16" x14ac:dyDescent="0.25">
      <c r="A36">
        <f t="array" ref="A36">IF(ISNA(_xlfn.XLOOKUP(P36,$P$2:P35,$A$2:A35)),IF(COUNTIFS($P$2:P36,P36)=1,IF(COUNTIFS($C$2:C35,C36)=0,1,_xlfn.MAXIFS($A$2:A35,$C$2:C35,C36)+1),A35),_xlfn.XLOOKUP(P36,$P$2:P35,$A$2:A35))</f>
        <v>2</v>
      </c>
      <c r="B36" t="s">
        <v>19</v>
      </c>
      <c r="C36" t="s">
        <v>30</v>
      </c>
      <c r="D36" t="s">
        <v>26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50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>
        <f t="array" ref="A37">IF(ISNA(_xlfn.XLOOKUP(P37,$P$2:P36,$A$2:A36)),IF(COUNTIFS($P$2:P37,P37)=1,IF(COUNTIFS($C$2:C36,C37)=0,1,_xlfn.MAXIFS($A$2:A36,$C$2:C36,C37)+1),A36),_xlfn.XLOOKUP(P37,$P$2:P36,$A$2:A36))</f>
        <v>2</v>
      </c>
      <c r="B37" t="s">
        <v>19</v>
      </c>
      <c r="C37" t="s">
        <v>30</v>
      </c>
      <c r="D37" t="s">
        <v>26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51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>
        <f t="array" ref="A38">IF(ISNA(_xlfn.XLOOKUP(P38,$P$2:P37,$A$2:A37)),IF(COUNTIFS($P$2:P38,P38)=1,IF(COUNTIFS($C$2:C37,C38)=0,1,_xlfn.MAXIFS($A$2:A37,$C$2:C37,C38)+1),A37),_xlfn.XLOOKUP(P38,$P$2:P37,$A$2:A37))</f>
        <v>3</v>
      </c>
      <c r="B38" t="s">
        <v>19</v>
      </c>
      <c r="C38" t="s">
        <v>30</v>
      </c>
      <c r="D38" t="s">
        <v>33</v>
      </c>
      <c r="E38" t="s">
        <v>19</v>
      </c>
      <c r="F38" t="s">
        <v>25</v>
      </c>
      <c r="G38" t="s">
        <v>19</v>
      </c>
      <c r="H38" t="s">
        <v>35</v>
      </c>
      <c r="I38" t="s">
        <v>30</v>
      </c>
      <c r="J38" t="s">
        <v>36</v>
      </c>
      <c r="K38">
        <v>2</v>
      </c>
      <c r="M38" t="str">
        <f t="shared" si="4"/>
        <v>Bulwer IslandStoreGP_STOREGP</v>
      </c>
      <c r="N38" t="str">
        <f t="shared" si="5"/>
        <v>Bulwer IslandDeliverTRUCKGP</v>
      </c>
      <c r="O38">
        <f t="shared" si="6"/>
        <v>1</v>
      </c>
      <c r="P38" t="str">
        <f t="shared" si="7"/>
        <v>Bulwer IslandStoreGP</v>
      </c>
    </row>
    <row r="39" spans="1:16" x14ac:dyDescent="0.25">
      <c r="A39">
        <f t="array" ref="A39">IF(ISNA(_xlfn.XLOOKUP(P39,$P$2:P38,$A$2:A38)),IF(COUNTIFS($P$2:P39,P39)=1,IF(COUNTIFS($C$2:C38,C39)=0,1,_xlfn.MAXIFS($A$2:A38,$C$2:C38,C39)+1),A38),_xlfn.XLOOKUP(P39,$P$2:P38,$A$2:A38))</f>
        <v>2</v>
      </c>
      <c r="B39" t="s">
        <v>19</v>
      </c>
      <c r="C39" t="s">
        <v>30</v>
      </c>
      <c r="D39" t="s">
        <v>49</v>
      </c>
      <c r="E39" t="s">
        <v>24</v>
      </c>
      <c r="F39" t="s">
        <v>25</v>
      </c>
      <c r="G39" t="s">
        <v>24</v>
      </c>
      <c r="H39" t="s">
        <v>23</v>
      </c>
      <c r="I39" t="s">
        <v>30</v>
      </c>
      <c r="J39" t="s">
        <v>50</v>
      </c>
      <c r="K39">
        <v>2</v>
      </c>
      <c r="M39" t="str">
        <f t="shared" si="4"/>
        <v>Bulwer IslandStoreCL_STORE_ICL</v>
      </c>
      <c r="N39" t="str">
        <f t="shared" si="5"/>
        <v>Bulwer IslandMakeCM10CL</v>
      </c>
      <c r="O39">
        <f t="shared" si="6"/>
        <v>1</v>
      </c>
      <c r="P39" t="str">
        <f t="shared" si="7"/>
        <v>Bulwer IslandStoreCL</v>
      </c>
    </row>
    <row r="40" spans="1:16" x14ac:dyDescent="0.25">
      <c r="A40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19</v>
      </c>
      <c r="C40" t="s">
        <v>30</v>
      </c>
      <c r="D40" t="s">
        <v>49</v>
      </c>
      <c r="E40" t="s">
        <v>24</v>
      </c>
      <c r="F40" t="s">
        <v>25</v>
      </c>
      <c r="G40" t="s">
        <v>24</v>
      </c>
      <c r="H40" t="s">
        <v>23</v>
      </c>
      <c r="I40" t="s">
        <v>30</v>
      </c>
      <c r="J40" t="s">
        <v>51</v>
      </c>
      <c r="K40">
        <v>2</v>
      </c>
      <c r="M40" t="str">
        <f t="shared" si="4"/>
        <v>Bulwer IslandStoreCL_STORE_ICL</v>
      </c>
      <c r="N40" t="str">
        <f t="shared" si="5"/>
        <v>Bulwer IslandMakeCM11CL</v>
      </c>
      <c r="O40">
        <f t="shared" si="6"/>
        <v>1</v>
      </c>
      <c r="P40" t="str">
        <f t="shared" si="7"/>
        <v>Bulwer IslandStoreCL</v>
      </c>
    </row>
    <row r="41" spans="1:16" x14ac:dyDescent="0.25">
      <c r="A41">
        <f t="array" ref="A41">IF(ISNA(_xlfn.XLOOKUP(P41,$P$2:P40,$A$2:A40)),IF(COUNTIFS($P$2:P41,P41)=1,IF(COUNTIFS($C$2:C40,C41)=0,1,_xlfn.MAXIFS($A$2:A40,$C$2:C40,C41)+1),A40),_xlfn.XLOOKUP(P41,$P$2:P40,$A$2:A40))</f>
        <v>4</v>
      </c>
      <c r="B41" t="s">
        <v>19</v>
      </c>
      <c r="C41" t="s">
        <v>30</v>
      </c>
      <c r="D41" t="s">
        <v>36</v>
      </c>
      <c r="E41" t="s">
        <v>19</v>
      </c>
      <c r="F41" t="s">
        <v>35</v>
      </c>
      <c r="G41" t="s">
        <v>19</v>
      </c>
      <c r="H41" t="s">
        <v>22</v>
      </c>
      <c r="K41">
        <v>4</v>
      </c>
      <c r="L41" t="s">
        <v>27</v>
      </c>
      <c r="M41" t="str">
        <f t="shared" si="4"/>
        <v>Bulwer IslandDeliverTRUCKGP</v>
      </c>
      <c r="N41" t="str">
        <f t="shared" si="5"/>
        <v>NoneGP</v>
      </c>
      <c r="O41">
        <f t="shared" si="6"/>
        <v>0</v>
      </c>
      <c r="P41" t="str">
        <f t="shared" si="7"/>
        <v>Bulwer IslandDeliverGP</v>
      </c>
    </row>
    <row r="42" spans="1:16" x14ac:dyDescent="0.25">
      <c r="A42">
        <f t="array" ref="A42">IF(ISNA(_xlfn.XLOOKUP(P42,$P$2:P41,$A$2:A41)),IF(COUNTIFS($P$2:P42,P42)=1,IF(COUNTIFS($C$2:C41,C42)=0,1,_xlfn.MAXIFS($A$2:A41,$C$2:C41,C42)+1),A41),_xlfn.XLOOKUP(P42,$P$2:P41,$A$2:A41))</f>
        <v>1</v>
      </c>
      <c r="B42" t="s">
        <v>19</v>
      </c>
      <c r="C42" t="s">
        <v>38</v>
      </c>
      <c r="D42" t="s">
        <v>52</v>
      </c>
      <c r="E42" t="s">
        <v>24</v>
      </c>
      <c r="F42" t="s">
        <v>23</v>
      </c>
      <c r="G42" t="s">
        <v>19</v>
      </c>
      <c r="H42" t="s">
        <v>25</v>
      </c>
      <c r="I42" t="s">
        <v>38</v>
      </c>
      <c r="J42" t="s">
        <v>33</v>
      </c>
      <c r="K42">
        <v>1</v>
      </c>
      <c r="L42" t="s">
        <v>27</v>
      </c>
      <c r="M42" t="str">
        <f t="shared" si="4"/>
        <v>Port KemblaMakeVRMCL</v>
      </c>
      <c r="N42" t="str">
        <f t="shared" si="5"/>
        <v>Port KemblaStoreGP_STOREGP</v>
      </c>
      <c r="O42">
        <f t="shared" si="6"/>
        <v>2</v>
      </c>
      <c r="P42" t="str">
        <f t="shared" si="7"/>
        <v>Port KemblaMakeGP</v>
      </c>
    </row>
    <row r="43" spans="1:16" x14ac:dyDescent="0.25">
      <c r="A43">
        <f t="array" ref="A43">IF(ISNA(_xlfn.XLOOKUP(P43,$P$2:P42,$A$2:A42)),IF(COUNTIFS($P$2:P43,P43)=1,IF(COUNTIFS($C$2:C42,C43)=0,1,_xlfn.MAXIFS($A$2:A42,$C$2:C42,C43)+1),#REF!),_xlfn.XLOOKUP(P43,$P$2:P42,$A$2:A42))</f>
        <v>2</v>
      </c>
      <c r="B43" t="s">
        <v>19</v>
      </c>
      <c r="C43" t="s">
        <v>38</v>
      </c>
      <c r="D43" t="s">
        <v>33</v>
      </c>
      <c r="E43" t="s">
        <v>19</v>
      </c>
      <c r="F43" t="s">
        <v>25</v>
      </c>
      <c r="G43" t="s">
        <v>19</v>
      </c>
      <c r="H43" t="s">
        <v>28</v>
      </c>
      <c r="I43" t="s">
        <v>38</v>
      </c>
      <c r="J43" t="s">
        <v>34</v>
      </c>
      <c r="K43">
        <v>2</v>
      </c>
      <c r="L43" t="s">
        <v>27</v>
      </c>
      <c r="M43" t="str">
        <f t="shared" si="4"/>
        <v>Port KemblaStoreGP_STOREGP</v>
      </c>
      <c r="N43" t="str">
        <f t="shared" si="5"/>
        <v>Port KemblaMoveTRAINGP</v>
      </c>
      <c r="O43">
        <f t="shared" si="6"/>
        <v>2</v>
      </c>
      <c r="P43" t="str">
        <f t="shared" si="7"/>
        <v>Port KemblaStoreGP</v>
      </c>
    </row>
    <row r="44" spans="1:16" x14ac:dyDescent="0.25">
      <c r="A44">
        <f t="array" ref="A44">IF(ISNA(_xlfn.XLOOKUP(P44,$P$2:P43,$A$2:A43)),IF(COUNTIFS($P$2:P44,P44)=1,IF(COUNTIFS($C$2:C43,C44)=0,1,_xlfn.MAXIFS($A$2:A43,$C$2:C43,C44)+1),A43),_xlfn.XLOOKUP(P44,$P$2:P43,$A$2:A43))</f>
        <v>3</v>
      </c>
      <c r="B44" t="s">
        <v>19</v>
      </c>
      <c r="C44" t="s">
        <v>38</v>
      </c>
      <c r="D44" t="s">
        <v>49</v>
      </c>
      <c r="E44" t="s">
        <v>24</v>
      </c>
      <c r="F44" t="s">
        <v>25</v>
      </c>
      <c r="G44" t="s">
        <v>24</v>
      </c>
      <c r="H44" t="s">
        <v>23</v>
      </c>
      <c r="I44" t="s">
        <v>38</v>
      </c>
      <c r="J44" t="s">
        <v>52</v>
      </c>
      <c r="K44">
        <v>2</v>
      </c>
      <c r="L44" t="s">
        <v>27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>
        <f t="array" ref="A45">IF(ISNA(_xlfn.XLOOKUP(P45,$P$2:P44,$A$2:A44)),IF(COUNTIFS($P$2:P45,P45)=1,IF(COUNTIFS($C$2:C44,C45)=0,1,_xlfn.MAXIFS($A$2:A44,$C$2:C44,C45)+1),#REF!),_xlfn.XLOOKUP(P45,$P$2:P44,$A$2:A44))</f>
        <v>2</v>
      </c>
      <c r="B45" t="s">
        <v>19</v>
      </c>
      <c r="C45" t="s">
        <v>38</v>
      </c>
      <c r="D45" t="s">
        <v>33</v>
      </c>
      <c r="E45" t="s">
        <v>19</v>
      </c>
      <c r="F45" t="s">
        <v>25</v>
      </c>
      <c r="G45" t="s">
        <v>19</v>
      </c>
      <c r="H45" t="s">
        <v>35</v>
      </c>
      <c r="I45" t="s">
        <v>38</v>
      </c>
      <c r="J45" t="s">
        <v>36</v>
      </c>
      <c r="K45">
        <v>2</v>
      </c>
      <c r="L45" t="s">
        <v>27</v>
      </c>
      <c r="M45" t="str">
        <f t="shared" si="4"/>
        <v>Port KemblaStoreGP_STOREGP</v>
      </c>
      <c r="N45" t="str">
        <f t="shared" si="5"/>
        <v>Port KemblaDeliverTRUCKGP</v>
      </c>
      <c r="O45">
        <f t="shared" si="6"/>
        <v>1</v>
      </c>
      <c r="P45" t="str">
        <f t="shared" si="7"/>
        <v>Port KemblaStoreGP</v>
      </c>
    </row>
    <row r="46" spans="1:16" x14ac:dyDescent="0.25">
      <c r="A46">
        <f t="array" ref="A46">IF(ISNA(_xlfn.XLOOKUP(P46,$P$2:P45,$A$2:A45)),IF(COUNTIFS($P$2:P46,P46)=1,IF(COUNTIFS($C$2:C45,C46)=0,1,_xlfn.MAXIFS($A$2:A45,$C$2:C45,C46)+1),A45),_xlfn.XLOOKUP(P46,$P$2:P45,$A$2:A45))</f>
        <v>4</v>
      </c>
      <c r="B46" t="s">
        <v>19</v>
      </c>
      <c r="C46" t="s">
        <v>38</v>
      </c>
      <c r="D46" t="s">
        <v>34</v>
      </c>
      <c r="E46" t="s">
        <v>19</v>
      </c>
      <c r="F46" t="s">
        <v>28</v>
      </c>
      <c r="G46" t="s">
        <v>19</v>
      </c>
      <c r="H46" t="s">
        <v>25</v>
      </c>
      <c r="I46" t="s">
        <v>53</v>
      </c>
      <c r="J46" t="s">
        <v>33</v>
      </c>
      <c r="K46">
        <v>3</v>
      </c>
      <c r="M46" t="str">
        <f t="shared" si="4"/>
        <v>Port KemblaMoveTRAINGP</v>
      </c>
      <c r="N46" t="str">
        <f t="shared" si="5"/>
        <v>AlburyStoreGP_STOREGP</v>
      </c>
      <c r="O46">
        <f t="shared" si="6"/>
        <v>1</v>
      </c>
      <c r="P46" t="str">
        <f t="shared" si="7"/>
        <v>Port KemblaMoveGP</v>
      </c>
    </row>
    <row r="47" spans="1:16" x14ac:dyDescent="0.25">
      <c r="A47">
        <f t="array" ref="A47">IF(ISNA(_xlfn.XLOOKUP(P47,$P$2:P46,$A$2:A46)),IF(COUNTIFS($P$2:P47,P47)=1,IF(COUNTIFS($C$2:C46,C47)=0,1,_xlfn.MAXIFS($A$2:A46,$C$2:C46,C47)+1),A46),_xlfn.XLOOKUP(P47,$P$2:P46,$A$2:A46))</f>
        <v>4</v>
      </c>
      <c r="B47" t="s">
        <v>19</v>
      </c>
      <c r="C47" t="s">
        <v>38</v>
      </c>
      <c r="D47" t="s">
        <v>34</v>
      </c>
      <c r="E47" t="s">
        <v>19</v>
      </c>
      <c r="F47" t="s">
        <v>28</v>
      </c>
      <c r="G47" t="s">
        <v>19</v>
      </c>
      <c r="H47" t="s">
        <v>25</v>
      </c>
      <c r="I47" t="s">
        <v>54</v>
      </c>
      <c r="J47" t="s">
        <v>33</v>
      </c>
      <c r="K47">
        <v>3</v>
      </c>
      <c r="M47" t="str">
        <f t="shared" si="4"/>
        <v>Port KemblaMoveTRAINGP</v>
      </c>
      <c r="N47" t="str">
        <f t="shared" si="5"/>
        <v>WaggaStoreGP_STOREGP</v>
      </c>
      <c r="O47">
        <f t="shared" si="6"/>
        <v>1</v>
      </c>
      <c r="P47" t="str">
        <f t="shared" si="7"/>
        <v>Port KemblaMoveGP</v>
      </c>
    </row>
    <row r="48" spans="1:16" x14ac:dyDescent="0.25">
      <c r="A48">
        <f t="array" ref="A48">IF(ISNA(_xlfn.XLOOKUP(P48,$P$2:P47,$A$2:A47)),IF(COUNTIFS($P$2:P48,P48)=1,IF(COUNTIFS($C$2:C47,C48)=0,1,_xlfn.MAXIFS($A$2:A47,$C$2:C47,C48)+1),A47),_xlfn.XLOOKUP(P48,$P$2:P47,$A$2:A47))</f>
        <v>5</v>
      </c>
      <c r="B48" t="s">
        <v>19</v>
      </c>
      <c r="C48" t="s">
        <v>38</v>
      </c>
      <c r="D48" t="s">
        <v>36</v>
      </c>
      <c r="E48" t="s">
        <v>19</v>
      </c>
      <c r="F48" t="s">
        <v>35</v>
      </c>
      <c r="G48" t="s">
        <v>19</v>
      </c>
      <c r="H48" t="s">
        <v>22</v>
      </c>
      <c r="K48">
        <v>4</v>
      </c>
      <c r="M48" t="str">
        <f t="shared" si="4"/>
        <v>Port KemblaDeliverTRUCKGP</v>
      </c>
      <c r="N48" t="str">
        <f t="shared" si="5"/>
        <v>NoneGP</v>
      </c>
      <c r="O48">
        <f t="shared" si="6"/>
        <v>0</v>
      </c>
      <c r="P48" t="str">
        <f t="shared" si="7"/>
        <v>Port KemblaDeliverGP</v>
      </c>
    </row>
    <row r="49" spans="1:16" x14ac:dyDescent="0.25">
      <c r="A49">
        <f t="array" ref="A49">IF(ISNA(_xlfn.XLOOKUP(P49,$P$2:P48,$A$2:A48)),IF(COUNTIFS($P$2:P49,P49)=1,IF(COUNTIFS($C$2:C48,C49)=0,1,_xlfn.MAXIFS($A$2:A48,$C$2:C48,C49)+1),A48),_xlfn.XLOOKUP(P49,$P$2:P48,$A$2:A48))</f>
        <v>1</v>
      </c>
      <c r="B49" t="s">
        <v>19</v>
      </c>
      <c r="C49" t="s">
        <v>39</v>
      </c>
      <c r="D49" t="s">
        <v>33</v>
      </c>
      <c r="E49" t="s">
        <v>19</v>
      </c>
      <c r="F49" t="s">
        <v>25</v>
      </c>
      <c r="G49" t="s">
        <v>19</v>
      </c>
      <c r="H49" t="s">
        <v>35</v>
      </c>
      <c r="I49" t="s">
        <v>39</v>
      </c>
      <c r="J49" t="s">
        <v>36</v>
      </c>
      <c r="K49">
        <v>2</v>
      </c>
      <c r="M49" t="str">
        <f t="shared" si="4"/>
        <v>NewcastleStoreGP_STOREGP</v>
      </c>
      <c r="N49" t="str">
        <f t="shared" si="5"/>
        <v>NewcastleDeliverTRUCKGP</v>
      </c>
      <c r="O49">
        <f t="shared" si="6"/>
        <v>2</v>
      </c>
      <c r="P49" t="str">
        <f t="shared" si="7"/>
        <v>NewcastleStoreGP</v>
      </c>
    </row>
    <row r="50" spans="1:16" x14ac:dyDescent="0.25">
      <c r="A50">
        <f t="array" ref="A50">IF(ISNA(_xlfn.XLOOKUP(P50,$P$2:P49,$A$2:A49)),IF(COUNTIFS($P$2:P50,P50)=1,IF(COUNTIFS($C$2:C49,C50)=0,1,_xlfn.MAXIFS($A$2:A49,$C$2:C49,C50)+1),A49),_xlfn.XLOOKUP(P50,$P$2:P49,$A$2:A49))</f>
        <v>1</v>
      </c>
      <c r="B50" t="s">
        <v>19</v>
      </c>
      <c r="C50" t="s">
        <v>39</v>
      </c>
      <c r="D50" t="s">
        <v>33</v>
      </c>
      <c r="E50" t="s">
        <v>19</v>
      </c>
      <c r="F50" t="s">
        <v>25</v>
      </c>
      <c r="G50" t="s">
        <v>19</v>
      </c>
      <c r="H50" t="s">
        <v>35</v>
      </c>
      <c r="I50" t="s">
        <v>39</v>
      </c>
      <c r="J50" t="s">
        <v>36</v>
      </c>
      <c r="K50">
        <v>2</v>
      </c>
      <c r="M50" t="str">
        <f t="shared" si="4"/>
        <v>NewcastleStoreGP_STOREGP</v>
      </c>
      <c r="N50" t="str">
        <f t="shared" si="5"/>
        <v>NewcastleDeliverTRUCKGP</v>
      </c>
      <c r="O50">
        <f t="shared" si="6"/>
        <v>2</v>
      </c>
      <c r="P50" t="str">
        <f t="shared" si="7"/>
        <v>NewcastleStoreGP</v>
      </c>
    </row>
    <row r="51" spans="1:16" x14ac:dyDescent="0.25">
      <c r="A51">
        <f t="array" ref="A51">IF(ISNA(_xlfn.XLOOKUP(P51,$P$2:P50,$A$2:A50)),IF(COUNTIFS($P$2:P51,P51)=1,IF(COUNTIFS($C$2:C50,C51)=0,1,_xlfn.MAXIFS($A$2:A50,$C$2:C50,C51)+1),A50),_xlfn.XLOOKUP(P51,$P$2:P50,$A$2:A50))</f>
        <v>2</v>
      </c>
      <c r="B51" t="s">
        <v>19</v>
      </c>
      <c r="C51" t="s">
        <v>39</v>
      </c>
      <c r="D51" t="s">
        <v>36</v>
      </c>
      <c r="E51" t="s">
        <v>19</v>
      </c>
      <c r="F51" t="s">
        <v>35</v>
      </c>
      <c r="G51" t="s">
        <v>19</v>
      </c>
      <c r="H51" t="s">
        <v>22</v>
      </c>
      <c r="K51">
        <v>4</v>
      </c>
      <c r="M51" t="str">
        <f t="shared" si="4"/>
        <v>NewcastleDeliverTRUCKGP</v>
      </c>
      <c r="N51" t="str">
        <f t="shared" si="5"/>
        <v>NoneGP</v>
      </c>
      <c r="O51">
        <f t="shared" si="6"/>
        <v>0</v>
      </c>
      <c r="P51" t="str">
        <f t="shared" si="7"/>
        <v>NewcastleDeliverGP</v>
      </c>
    </row>
    <row r="52" spans="1:16" x14ac:dyDescent="0.25">
      <c r="A52">
        <f t="array" ref="A52">IF(ISNA(_xlfn.XLOOKUP(P52,$P$2:P51,$A$2:A51)),IF(COUNTIFS($P$2:P52,P52)=1,IF(COUNTIFS($C$2:C51,C52)=0,1,_xlfn.MAXIFS($A$2:A51,$C$2:C51,C52)+1),A51),_xlfn.XLOOKUP(P52,$P$2:P51,$A$2:A51))</f>
        <v>2</v>
      </c>
      <c r="B52" t="s">
        <v>19</v>
      </c>
      <c r="C52" t="s">
        <v>39</v>
      </c>
      <c r="D52" t="s">
        <v>36</v>
      </c>
      <c r="E52" t="s">
        <v>19</v>
      </c>
      <c r="F52" t="s">
        <v>35</v>
      </c>
      <c r="G52" t="s">
        <v>19</v>
      </c>
      <c r="H52" t="s">
        <v>22</v>
      </c>
      <c r="K52">
        <v>4</v>
      </c>
      <c r="M52" t="str">
        <f t="shared" si="4"/>
        <v>NewcastleDeliverTRUCKGP</v>
      </c>
      <c r="N52" t="str">
        <f t="shared" si="5"/>
        <v>NoneGP</v>
      </c>
      <c r="O52">
        <f t="shared" si="6"/>
        <v>0</v>
      </c>
      <c r="P52" t="str">
        <f t="shared" si="7"/>
        <v>NewcastleDeliverGP</v>
      </c>
    </row>
    <row r="53" spans="1:16" x14ac:dyDescent="0.25">
      <c r="A53">
        <f t="array" ref="A53">IF(ISNA(_xlfn.XLOOKUP(P53,$P$2:P52,$A$2:A52)),IF(COUNTIFS($P$2:P53,P53)=1,IF(COUNTIFS($C$2:C52,C53)=0,1,_xlfn.MAXIFS($A$2:A52,$C$2:C52,C53)+1),A52),_xlfn.XLOOKUP(P53,$P$2:P52,$A$2:A52))</f>
        <v>1</v>
      </c>
      <c r="B53" t="s">
        <v>19</v>
      </c>
      <c r="C53" t="s">
        <v>46</v>
      </c>
      <c r="D53" t="s">
        <v>33</v>
      </c>
      <c r="E53" t="s">
        <v>19</v>
      </c>
      <c r="F53" t="s">
        <v>25</v>
      </c>
      <c r="G53" t="s">
        <v>19</v>
      </c>
      <c r="H53" t="s">
        <v>35</v>
      </c>
      <c r="I53" t="s">
        <v>46</v>
      </c>
      <c r="J53" t="s">
        <v>36</v>
      </c>
      <c r="K53">
        <v>2</v>
      </c>
      <c r="M53" t="str">
        <f t="shared" si="4"/>
        <v>MelbourneStoreGP_STOREGP</v>
      </c>
      <c r="N53" t="str">
        <f t="shared" si="5"/>
        <v>MelbourneDeliverTRUCKGP</v>
      </c>
      <c r="O53">
        <f t="shared" si="6"/>
        <v>1</v>
      </c>
      <c r="P53" t="str">
        <f t="shared" si="7"/>
        <v>MelbourneStoreGP</v>
      </c>
    </row>
    <row r="54" spans="1:16" x14ac:dyDescent="0.25">
      <c r="A54">
        <f t="array" ref="A54">IF(ISNA(_xlfn.XLOOKUP(P54,$P$2:P53,$A$2:A53)),IF(COUNTIFS($P$2:P54,P54)=1,IF(COUNTIFS($C$2:C53,C54)=0,1,_xlfn.MAXIFS($A$2:A53,$C$2:C53,C54)+1),A53),_xlfn.XLOOKUP(P54,$P$2:P53,$A$2:A53))</f>
        <v>2</v>
      </c>
      <c r="B54" t="s">
        <v>19</v>
      </c>
      <c r="C54" t="s">
        <v>46</v>
      </c>
      <c r="D54" t="s">
        <v>36</v>
      </c>
      <c r="E54" t="s">
        <v>19</v>
      </c>
      <c r="F54" t="s">
        <v>35</v>
      </c>
      <c r="G54" t="s">
        <v>19</v>
      </c>
      <c r="H54" t="s">
        <v>22</v>
      </c>
      <c r="K54">
        <v>4</v>
      </c>
      <c r="M54" t="str">
        <f t="shared" si="4"/>
        <v>MelbourneDeliverTRUCKGP</v>
      </c>
      <c r="N54" t="str">
        <f t="shared" si="5"/>
        <v>NoneGP</v>
      </c>
      <c r="O54">
        <f t="shared" si="6"/>
        <v>0</v>
      </c>
      <c r="P54" t="str">
        <f t="shared" si="7"/>
        <v>MelbourneDeliverGP</v>
      </c>
    </row>
    <row r="55" spans="1:16" x14ac:dyDescent="0.25">
      <c r="A55">
        <f t="array" ref="A55">IF(ISNA(_xlfn.XLOOKUP(P55,$P$2:P54,$A$2:A54)),IF(COUNTIFS($P$2:P55,P55)=1,IF(COUNTIFS($C$2:C54,C55)=0,1,_xlfn.MAXIFS($A$2:A54,$C$2:C54,C55)+1),A54),_xlfn.XLOOKUP(P55,$P$2:P54,$A$2:A54))</f>
        <v>1</v>
      </c>
      <c r="B55" t="s">
        <v>19</v>
      </c>
      <c r="C55" t="s">
        <v>47</v>
      </c>
      <c r="D55" t="s">
        <v>33</v>
      </c>
      <c r="E55" t="s">
        <v>19</v>
      </c>
      <c r="F55" t="s">
        <v>25</v>
      </c>
      <c r="G55" t="s">
        <v>19</v>
      </c>
      <c r="H55" t="s">
        <v>35</v>
      </c>
      <c r="I55" t="s">
        <v>47</v>
      </c>
      <c r="J55" t="s">
        <v>36</v>
      </c>
      <c r="K55">
        <v>2</v>
      </c>
      <c r="M55" t="str">
        <f t="shared" si="4"/>
        <v>OsbornStoreGP_STOREGP</v>
      </c>
      <c r="N55" t="str">
        <f t="shared" si="5"/>
        <v>OsbornDeliverTRUCKGP</v>
      </c>
      <c r="O55">
        <f t="shared" si="6"/>
        <v>1</v>
      </c>
      <c r="P55" t="str">
        <f t="shared" si="7"/>
        <v>OsbornStoreGP</v>
      </c>
    </row>
    <row r="56" spans="1:16" x14ac:dyDescent="0.25">
      <c r="A56">
        <f t="array" ref="A56">IF(ISNA(_xlfn.XLOOKUP(P56,$P$2:P55,$A$2:A55)),IF(COUNTIFS($P$2:P56,P56)=1,IF(COUNTIFS($C$2:C55,C56)=0,1,_xlfn.MAXIFS($A$2:A55,$C$2:C55,C56)+1),A55),_xlfn.XLOOKUP(P56,$P$2:P55,$A$2:A55))</f>
        <v>2</v>
      </c>
      <c r="B56" t="s">
        <v>19</v>
      </c>
      <c r="C56" t="s">
        <v>47</v>
      </c>
      <c r="D56" t="s">
        <v>36</v>
      </c>
      <c r="E56" t="s">
        <v>19</v>
      </c>
      <c r="F56" t="s">
        <v>35</v>
      </c>
      <c r="G56" t="s">
        <v>19</v>
      </c>
      <c r="H56" t="s">
        <v>22</v>
      </c>
      <c r="K56">
        <v>4</v>
      </c>
      <c r="M56" t="str">
        <f t="shared" si="4"/>
        <v>OsbornDeliverTRUCKGP</v>
      </c>
      <c r="N56" t="str">
        <f t="shared" si="5"/>
        <v>NoneGP</v>
      </c>
      <c r="O56">
        <f t="shared" si="6"/>
        <v>0</v>
      </c>
      <c r="P56" t="str">
        <f t="shared" si="7"/>
        <v>OsbornDeliverGP</v>
      </c>
    </row>
    <row r="57" spans="1:16" x14ac:dyDescent="0.25">
      <c r="A57">
        <f t="array" ref="A57">IF(ISNA(_xlfn.XLOOKUP(P57,$P$2:P56,$A$2:A56)),IF(COUNTIFS($P$2:P57,P57)=1,IF(COUNTIFS($C$2:C56,C57)=0,1,_xlfn.MAXIFS($A$2:A56,$C$2:C56,C57)+1),A56),_xlfn.XLOOKUP(P57,$P$2:P56,$A$2:A56))</f>
        <v>1</v>
      </c>
      <c r="B57" t="s">
        <v>19</v>
      </c>
      <c r="C57" t="s">
        <v>37</v>
      </c>
      <c r="D57" t="s">
        <v>33</v>
      </c>
      <c r="E57" t="s">
        <v>19</v>
      </c>
      <c r="F57" t="s">
        <v>25</v>
      </c>
      <c r="G57" t="s">
        <v>19</v>
      </c>
      <c r="H57" t="s">
        <v>35</v>
      </c>
      <c r="I57" t="s">
        <v>37</v>
      </c>
      <c r="J57" t="s">
        <v>36</v>
      </c>
      <c r="K57">
        <v>2</v>
      </c>
      <c r="M57" t="str">
        <f t="shared" si="4"/>
        <v>TownsvilleStoreGP_STOREGP</v>
      </c>
      <c r="N57" t="str">
        <f t="shared" si="5"/>
        <v>TownsvilleDeliverTRUCKGP</v>
      </c>
      <c r="O57">
        <f t="shared" si="6"/>
        <v>1</v>
      </c>
      <c r="P57" t="str">
        <f t="shared" si="7"/>
        <v>TownsvilleStoreGP</v>
      </c>
    </row>
    <row r="58" spans="1:16" x14ac:dyDescent="0.25">
      <c r="A58">
        <f t="array" ref="A58">IF(ISNA(_xlfn.XLOOKUP(P58,$P$2:P57,$A$2:A57)),IF(COUNTIFS($P$2:P58,P58)=1,IF(COUNTIFS($C$2:C57,C58)=0,1,_xlfn.MAXIFS($A$2:A57,$C$2:C57,C58)+1),A57),_xlfn.XLOOKUP(P58,$P$2:P57,$A$2:A57))</f>
        <v>2</v>
      </c>
      <c r="B58" t="s">
        <v>19</v>
      </c>
      <c r="C58" t="s">
        <v>37</v>
      </c>
      <c r="D58" t="s">
        <v>36</v>
      </c>
      <c r="E58" t="s">
        <v>19</v>
      </c>
      <c r="F58" t="s">
        <v>35</v>
      </c>
      <c r="G58" t="s">
        <v>19</v>
      </c>
      <c r="H58" t="s">
        <v>22</v>
      </c>
      <c r="K58">
        <v>4</v>
      </c>
      <c r="M58" t="str">
        <f t="shared" si="4"/>
        <v>TownsvilleDeliverTRUCKGP</v>
      </c>
      <c r="N58" t="str">
        <f t="shared" si="5"/>
        <v>NoneGP</v>
      </c>
      <c r="O58">
        <f t="shared" si="6"/>
        <v>0</v>
      </c>
      <c r="P58" t="str">
        <f t="shared" si="7"/>
        <v>TownsvilleDeliverGP</v>
      </c>
    </row>
    <row r="59" spans="1:16" x14ac:dyDescent="0.25">
      <c r="A59">
        <f t="array" ref="A59">IF(ISNA(_xlfn.XLOOKUP(P59,$P$2:P58,$A$2:A58)),IF(COUNTIFS($P$2:P59,P59)=1,IF(COUNTIFS($C$2:C58,C59)=0,1,_xlfn.MAXIFS($A$2:A58,$C$2:C58,C59)+1),A58),_xlfn.XLOOKUP(P59,$P$2:P58,$A$2:A58))</f>
        <v>1</v>
      </c>
      <c r="B59" t="s">
        <v>19</v>
      </c>
      <c r="C59" t="s">
        <v>40</v>
      </c>
      <c r="D59" t="s">
        <v>33</v>
      </c>
      <c r="E59" t="s">
        <v>19</v>
      </c>
      <c r="F59" t="s">
        <v>25</v>
      </c>
      <c r="G59" t="s">
        <v>19</v>
      </c>
      <c r="H59" t="s">
        <v>35</v>
      </c>
      <c r="I59" t="s">
        <v>40</v>
      </c>
      <c r="J59" t="s">
        <v>36</v>
      </c>
      <c r="K59">
        <v>2</v>
      </c>
      <c r="M59" t="str">
        <f t="shared" si="4"/>
        <v>MackayStoreGP_STOREGP</v>
      </c>
      <c r="N59" t="str">
        <f t="shared" si="5"/>
        <v>MackayDeliverTRUCKGP</v>
      </c>
      <c r="O59">
        <f t="shared" si="6"/>
        <v>1</v>
      </c>
      <c r="P59" t="str">
        <f t="shared" si="7"/>
        <v>MackayStoreGP</v>
      </c>
    </row>
    <row r="60" spans="1:16" x14ac:dyDescent="0.25">
      <c r="A60">
        <f t="array" ref="A60">IF(ISNA(_xlfn.XLOOKUP(P60,$P$2:P59,$A$2:A59)),IF(COUNTIFS($P$2:P60,P60)=1,IF(COUNTIFS($C$2:C59,C60)=0,1,_xlfn.MAXIFS($A$2:A59,$C$2:C59,C60)+1),A59),_xlfn.XLOOKUP(P60,$P$2:P59,$A$2:A59))</f>
        <v>2</v>
      </c>
      <c r="B60" t="s">
        <v>19</v>
      </c>
      <c r="C60" t="s">
        <v>40</v>
      </c>
      <c r="D60" t="s">
        <v>36</v>
      </c>
      <c r="E60" t="s">
        <v>19</v>
      </c>
      <c r="F60" t="s">
        <v>35</v>
      </c>
      <c r="G60" t="s">
        <v>19</v>
      </c>
      <c r="H60" t="s">
        <v>22</v>
      </c>
      <c r="K60">
        <v>4</v>
      </c>
      <c r="M60" t="str">
        <f t="shared" si="4"/>
        <v>MackayDeliverTRUCKGP</v>
      </c>
      <c r="N60" t="str">
        <f t="shared" si="5"/>
        <v>NoneGP</v>
      </c>
      <c r="O60">
        <f t="shared" si="6"/>
        <v>0</v>
      </c>
      <c r="P60" t="str">
        <f t="shared" si="7"/>
        <v>MackayDeliverGP</v>
      </c>
    </row>
    <row r="61" spans="1:16" x14ac:dyDescent="0.25">
      <c r="A61">
        <f t="array" ref="A61">IF(ISNA(_xlfn.XLOOKUP(P61,$P$2:P60,$A$2:A60)),IF(COUNTIFS($P$2:P61,P61)=1,IF(COUNTIFS($C$2:C60,C61)=0,1,_xlfn.MAXIFS($A$2:A60,$C$2:C60,C61)+1),A60),_xlfn.XLOOKUP(P61,$P$2:P60,$A$2:A60))</f>
        <v>1</v>
      </c>
      <c r="B61" t="s">
        <v>19</v>
      </c>
      <c r="C61" t="s">
        <v>54</v>
      </c>
      <c r="D61" t="s">
        <v>33</v>
      </c>
      <c r="E61" t="s">
        <v>19</v>
      </c>
      <c r="F61" t="s">
        <v>25</v>
      </c>
      <c r="G61" t="s">
        <v>19</v>
      </c>
      <c r="H61" t="s">
        <v>35</v>
      </c>
      <c r="I61" t="s">
        <v>54</v>
      </c>
      <c r="J61" t="s">
        <v>36</v>
      </c>
      <c r="K61">
        <v>2</v>
      </c>
      <c r="M61" t="str">
        <f t="shared" si="4"/>
        <v>WaggaStoreGP_STOREGP</v>
      </c>
      <c r="N61" t="str">
        <f t="shared" si="5"/>
        <v>WaggaDeliverTRUCKGP</v>
      </c>
      <c r="O61">
        <f t="shared" si="6"/>
        <v>1</v>
      </c>
      <c r="P61" t="str">
        <f t="shared" si="7"/>
        <v>WaggaStoreGP</v>
      </c>
    </row>
    <row r="62" spans="1:16" x14ac:dyDescent="0.25">
      <c r="A62">
        <f t="array" ref="A62">IF(ISNA(_xlfn.XLOOKUP(P62,$P$2:P61,$A$2:A61)),IF(COUNTIFS($P$2:P62,P62)=1,IF(COUNTIFS($C$2:C61,C62)=0,1,_xlfn.MAXIFS($A$2:A61,$C$2:C61,C62)+1),A61),_xlfn.XLOOKUP(P62,$P$2:P61,$A$2:A61))</f>
        <v>2</v>
      </c>
      <c r="B62" t="s">
        <v>19</v>
      </c>
      <c r="C62" t="s">
        <v>54</v>
      </c>
      <c r="D62" t="s">
        <v>36</v>
      </c>
      <c r="E62" t="s">
        <v>19</v>
      </c>
      <c r="F62" t="s">
        <v>35</v>
      </c>
      <c r="G62" t="s">
        <v>19</v>
      </c>
      <c r="H62" t="s">
        <v>22</v>
      </c>
      <c r="K62">
        <v>4</v>
      </c>
      <c r="M62" t="str">
        <f t="shared" si="4"/>
        <v>WaggaDeliverTRUCKGP</v>
      </c>
      <c r="N62" t="str">
        <f t="shared" si="5"/>
        <v>NoneGP</v>
      </c>
      <c r="O62">
        <f t="shared" si="6"/>
        <v>0</v>
      </c>
      <c r="P62" t="str">
        <f t="shared" si="7"/>
        <v>WaggaDeliverGP</v>
      </c>
    </row>
    <row r="63" spans="1:16" x14ac:dyDescent="0.25">
      <c r="A63">
        <f t="array" ref="A63">IF(ISNA(_xlfn.XLOOKUP(P63,$P$2:P62,$A$2:A62)),IF(COUNTIFS($P$2:P63,P63)=1,IF(COUNTIFS($C$2:C62,C63)=0,1,_xlfn.MAXIFS($A$2:A62,$C$2:C62,C63)+1),A62),_xlfn.XLOOKUP(P63,$P$2:P62,$A$2:A62))</f>
        <v>1</v>
      </c>
      <c r="B63" t="s">
        <v>19</v>
      </c>
      <c r="C63" t="s">
        <v>53</v>
      </c>
      <c r="D63" t="s">
        <v>33</v>
      </c>
      <c r="E63" t="s">
        <v>19</v>
      </c>
      <c r="F63" t="s">
        <v>25</v>
      </c>
      <c r="G63" t="s">
        <v>19</v>
      </c>
      <c r="H63" t="s">
        <v>35</v>
      </c>
      <c r="I63" t="s">
        <v>53</v>
      </c>
      <c r="J63" t="s">
        <v>36</v>
      </c>
      <c r="K63">
        <v>2</v>
      </c>
      <c r="M63" t="str">
        <f t="shared" si="4"/>
        <v>AlburyStoreGP_STOREGP</v>
      </c>
      <c r="N63" t="str">
        <f t="shared" si="5"/>
        <v>AlburyDeliverTRUCKGP</v>
      </c>
      <c r="O63">
        <f t="shared" si="6"/>
        <v>1</v>
      </c>
      <c r="P63" t="str">
        <f t="shared" si="7"/>
        <v>AlburyStoreGP</v>
      </c>
    </row>
    <row r="64" spans="1:16" x14ac:dyDescent="0.25">
      <c r="A64">
        <f t="array" ref="A64">IF(ISNA(_xlfn.XLOOKUP(P64,$P$2:P63,$A$2:A63)),IF(COUNTIFS($P$2:P64,P64)=1,IF(COUNTIFS($C$2:C63,C64)=0,1,_xlfn.MAXIFS($A$2:A63,$C$2:C63,C64)+1),A63),_xlfn.XLOOKUP(P64,$P$2:P63,$A$2:A63))</f>
        <v>2</v>
      </c>
      <c r="B64" t="s">
        <v>19</v>
      </c>
      <c r="C64" t="s">
        <v>53</v>
      </c>
      <c r="D64" t="s">
        <v>36</v>
      </c>
      <c r="E64" t="s">
        <v>19</v>
      </c>
      <c r="F64" t="s">
        <v>35</v>
      </c>
      <c r="G64" t="s">
        <v>19</v>
      </c>
      <c r="H64" t="s">
        <v>22</v>
      </c>
      <c r="K64">
        <v>4</v>
      </c>
      <c r="M64" t="str">
        <f t="shared" si="4"/>
        <v>AlburyDeliverTRUCKGP</v>
      </c>
      <c r="N64" t="str">
        <f t="shared" si="5"/>
        <v>NoneGP</v>
      </c>
      <c r="O64">
        <f t="shared" si="6"/>
        <v>0</v>
      </c>
      <c r="P64" t="str">
        <f t="shared" si="7"/>
        <v>AlburyDeliverGP</v>
      </c>
    </row>
    <row r="65" spans="2:11" x14ac:dyDescent="0.25">
      <c r="B65" t="s">
        <v>19</v>
      </c>
      <c r="C65" t="s">
        <v>53</v>
      </c>
      <c r="D65" t="s">
        <v>33</v>
      </c>
      <c r="E65" t="s">
        <v>19</v>
      </c>
      <c r="F65" t="s">
        <v>25</v>
      </c>
      <c r="G65" t="s">
        <v>19</v>
      </c>
      <c r="H65" t="s">
        <v>35</v>
      </c>
      <c r="I65" t="s">
        <v>53</v>
      </c>
      <c r="J65" t="s">
        <v>36</v>
      </c>
      <c r="K65">
        <v>2</v>
      </c>
    </row>
    <row r="66" spans="2:11" x14ac:dyDescent="0.25">
      <c r="B66" t="s">
        <v>19</v>
      </c>
      <c r="C66" t="s">
        <v>53</v>
      </c>
      <c r="D66" t="s">
        <v>36</v>
      </c>
      <c r="E66" t="s">
        <v>19</v>
      </c>
      <c r="F66" t="s">
        <v>35</v>
      </c>
      <c r="G66" t="s">
        <v>19</v>
      </c>
      <c r="H66" t="s">
        <v>22</v>
      </c>
      <c r="K66">
        <v>4</v>
      </c>
    </row>
  </sheetData>
  <autoFilter ref="B1:K66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tabSelected="1" workbookViewId="0">
      <selection activeCell="E18" sqref="E18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30.140625" bestFit="1" customWidth="1"/>
    <col min="5" max="5" width="35" bestFit="1" customWidth="1"/>
    <col min="6" max="6" width="255.7109375" bestFit="1" customWidth="1"/>
    <col min="7" max="7" width="22.5703125" bestFit="1" customWidth="1"/>
  </cols>
  <sheetData>
    <row r="1" spans="1:7" x14ac:dyDescent="0.25">
      <c r="A1" s="2" t="s">
        <v>8</v>
      </c>
      <c r="B1" s="2" t="s">
        <v>9</v>
      </c>
      <c r="C1" s="2" t="s">
        <v>10</v>
      </c>
      <c r="D1" s="2" t="s">
        <v>55</v>
      </c>
      <c r="E1" s="2" t="s">
        <v>56</v>
      </c>
      <c r="F1" s="2" t="s">
        <v>57</v>
      </c>
      <c r="G1" s="2" t="s">
        <v>58</v>
      </c>
    </row>
    <row r="2" spans="1:7" x14ac:dyDescent="0.25">
      <c r="A2" t="s">
        <v>30</v>
      </c>
      <c r="B2" t="s">
        <v>50</v>
      </c>
      <c r="C2" t="s">
        <v>24</v>
      </c>
      <c r="D2">
        <v>43</v>
      </c>
      <c r="E2">
        <v>10</v>
      </c>
      <c r="F2" t="s">
        <v>59</v>
      </c>
      <c r="G2">
        <v>3.3000000000000002E-2</v>
      </c>
    </row>
    <row r="3" spans="1:7" x14ac:dyDescent="0.25">
      <c r="A3" t="s">
        <v>30</v>
      </c>
      <c r="B3" t="s">
        <v>51</v>
      </c>
      <c r="C3" t="s">
        <v>24</v>
      </c>
      <c r="D3">
        <v>88</v>
      </c>
      <c r="E3">
        <v>10</v>
      </c>
      <c r="F3" t="s">
        <v>60</v>
      </c>
      <c r="G3">
        <v>3.7999999999999999E-2</v>
      </c>
    </row>
    <row r="4" spans="1:7" x14ac:dyDescent="0.25">
      <c r="A4" t="s">
        <v>20</v>
      </c>
      <c r="B4" t="s">
        <v>31</v>
      </c>
      <c r="C4" t="s">
        <v>24</v>
      </c>
      <c r="D4">
        <v>103</v>
      </c>
      <c r="E4">
        <v>10</v>
      </c>
      <c r="F4" t="s">
        <v>61</v>
      </c>
      <c r="G4">
        <v>0.1646</v>
      </c>
    </row>
    <row r="5" spans="1:7" x14ac:dyDescent="0.25">
      <c r="A5" t="s">
        <v>20</v>
      </c>
      <c r="B5" t="s">
        <v>32</v>
      </c>
      <c r="C5" t="s">
        <v>24</v>
      </c>
      <c r="D5">
        <v>118</v>
      </c>
      <c r="E5">
        <v>10</v>
      </c>
      <c r="F5" t="s">
        <v>62</v>
      </c>
      <c r="G5">
        <v>0.13189999999999999</v>
      </c>
    </row>
    <row r="6" spans="1:7" x14ac:dyDescent="0.25">
      <c r="A6" t="s">
        <v>20</v>
      </c>
      <c r="B6" t="s">
        <v>21</v>
      </c>
      <c r="C6" t="s">
        <v>63</v>
      </c>
      <c r="D6">
        <v>226</v>
      </c>
      <c r="E6">
        <v>10</v>
      </c>
      <c r="F6" t="s">
        <v>64</v>
      </c>
      <c r="G6">
        <v>7.4499999999999997E-2</v>
      </c>
    </row>
    <row r="7" spans="1:7" x14ac:dyDescent="0.25">
      <c r="A7" t="s">
        <v>38</v>
      </c>
      <c r="B7" t="s">
        <v>52</v>
      </c>
      <c r="C7" t="s">
        <v>24</v>
      </c>
      <c r="D7">
        <v>205</v>
      </c>
      <c r="E7">
        <v>10</v>
      </c>
      <c r="F7" t="s">
        <v>65</v>
      </c>
      <c r="G7">
        <v>0.05</v>
      </c>
    </row>
    <row r="8" spans="1:7" x14ac:dyDescent="0.25">
      <c r="A8" t="s">
        <v>41</v>
      </c>
      <c r="B8" t="s">
        <v>43</v>
      </c>
      <c r="C8" t="s">
        <v>24</v>
      </c>
      <c r="D8">
        <v>64</v>
      </c>
      <c r="E8">
        <v>10</v>
      </c>
      <c r="F8" t="s">
        <v>66</v>
      </c>
      <c r="G8">
        <v>5.2999999999999999E-2</v>
      </c>
    </row>
    <row r="9" spans="1:7" x14ac:dyDescent="0.25">
      <c r="A9" t="s">
        <v>41</v>
      </c>
      <c r="B9" t="s">
        <v>44</v>
      </c>
      <c r="C9" t="s">
        <v>24</v>
      </c>
      <c r="D9">
        <v>112</v>
      </c>
      <c r="E9">
        <v>10</v>
      </c>
      <c r="F9" t="s">
        <v>67</v>
      </c>
      <c r="G9">
        <v>0.1101</v>
      </c>
    </row>
    <row r="10" spans="1:7" x14ac:dyDescent="0.25">
      <c r="A10" t="s">
        <v>41</v>
      </c>
      <c r="B10" t="s">
        <v>42</v>
      </c>
      <c r="C10" t="s">
        <v>63</v>
      </c>
      <c r="D10">
        <v>150</v>
      </c>
      <c r="E10">
        <v>10</v>
      </c>
      <c r="F10" t="s">
        <v>68</v>
      </c>
      <c r="G10">
        <v>2.98E-2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9"/>
  <sheetViews>
    <sheetView workbookViewId="0">
      <selection activeCell="E17" sqref="E17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16.85546875" bestFit="1" customWidth="1"/>
    <col min="5" max="5" width="24.28515625" bestFit="1" customWidth="1"/>
    <col min="6" max="6" width="23.7109375" bestFit="1" customWidth="1"/>
  </cols>
  <sheetData>
    <row r="1" spans="1:6" x14ac:dyDescent="0.25">
      <c r="A1" s="2" t="s">
        <v>8</v>
      </c>
      <c r="B1" s="2" t="s">
        <v>9</v>
      </c>
      <c r="C1" s="2" t="s">
        <v>10</v>
      </c>
      <c r="D1" s="2" t="s">
        <v>69</v>
      </c>
      <c r="E1" s="2" t="s">
        <v>70</v>
      </c>
      <c r="F1" s="2" t="s">
        <v>71</v>
      </c>
    </row>
    <row r="2" spans="1:6" x14ac:dyDescent="0.25">
      <c r="A2" t="s">
        <v>53</v>
      </c>
      <c r="B2" t="s">
        <v>33</v>
      </c>
      <c r="C2" t="s">
        <v>19</v>
      </c>
    </row>
    <row r="3" spans="1:6" x14ac:dyDescent="0.25">
      <c r="A3" t="s">
        <v>30</v>
      </c>
      <c r="B3" t="s">
        <v>26</v>
      </c>
      <c r="C3" t="s">
        <v>24</v>
      </c>
      <c r="D3">
        <v>50000</v>
      </c>
      <c r="E3">
        <v>50000</v>
      </c>
      <c r="F3">
        <v>25000</v>
      </c>
    </row>
    <row r="4" spans="1:6" x14ac:dyDescent="0.25">
      <c r="A4" t="s">
        <v>30</v>
      </c>
      <c r="B4" t="s">
        <v>49</v>
      </c>
      <c r="C4" t="s">
        <v>24</v>
      </c>
      <c r="D4">
        <v>30000</v>
      </c>
      <c r="E4">
        <v>30000</v>
      </c>
      <c r="F4">
        <v>15000</v>
      </c>
    </row>
    <row r="5" spans="1:6" x14ac:dyDescent="0.25">
      <c r="A5" t="s">
        <v>30</v>
      </c>
      <c r="B5" t="s">
        <v>33</v>
      </c>
      <c r="C5" t="s">
        <v>19</v>
      </c>
      <c r="D5">
        <v>30000</v>
      </c>
      <c r="E5">
        <v>30000</v>
      </c>
      <c r="F5">
        <v>15000</v>
      </c>
    </row>
    <row r="6" spans="1:6" x14ac:dyDescent="0.25">
      <c r="A6" t="s">
        <v>45</v>
      </c>
      <c r="B6" t="s">
        <v>33</v>
      </c>
      <c r="C6" t="s">
        <v>19</v>
      </c>
      <c r="D6">
        <v>25000</v>
      </c>
      <c r="E6">
        <v>15000</v>
      </c>
      <c r="F6">
        <v>5000</v>
      </c>
    </row>
    <row r="7" spans="1:6" x14ac:dyDescent="0.25">
      <c r="A7" t="s">
        <v>20</v>
      </c>
      <c r="B7" t="s">
        <v>26</v>
      </c>
      <c r="C7" t="s">
        <v>24</v>
      </c>
      <c r="D7">
        <v>60000</v>
      </c>
      <c r="E7">
        <v>60000</v>
      </c>
      <c r="F7">
        <v>30000</v>
      </c>
    </row>
    <row r="8" spans="1:6" x14ac:dyDescent="0.25">
      <c r="A8" t="s">
        <v>20</v>
      </c>
      <c r="B8" t="s">
        <v>33</v>
      </c>
      <c r="C8" t="s">
        <v>19</v>
      </c>
      <c r="D8">
        <v>30000</v>
      </c>
      <c r="E8">
        <v>30000</v>
      </c>
      <c r="F8">
        <v>15000</v>
      </c>
    </row>
    <row r="9" spans="1:6" x14ac:dyDescent="0.25">
      <c r="A9" t="s">
        <v>48</v>
      </c>
      <c r="B9" t="s">
        <v>26</v>
      </c>
      <c r="C9" t="s">
        <v>24</v>
      </c>
      <c r="D9">
        <v>999999</v>
      </c>
      <c r="E9">
        <v>999999</v>
      </c>
      <c r="F9">
        <v>999999</v>
      </c>
    </row>
    <row r="10" spans="1:6" x14ac:dyDescent="0.25">
      <c r="A10" t="s">
        <v>40</v>
      </c>
      <c r="B10" t="s">
        <v>33</v>
      </c>
      <c r="C10" t="s">
        <v>19</v>
      </c>
    </row>
    <row r="11" spans="1:6" x14ac:dyDescent="0.25">
      <c r="A11" t="s">
        <v>46</v>
      </c>
      <c r="B11" t="s">
        <v>33</v>
      </c>
      <c r="C11" t="s">
        <v>19</v>
      </c>
      <c r="D11">
        <v>35000</v>
      </c>
      <c r="E11">
        <v>35000</v>
      </c>
      <c r="F11">
        <v>8000</v>
      </c>
    </row>
    <row r="12" spans="1:6" x14ac:dyDescent="0.25">
      <c r="A12" t="s">
        <v>39</v>
      </c>
      <c r="B12" t="s">
        <v>33</v>
      </c>
      <c r="C12" t="s">
        <v>19</v>
      </c>
      <c r="D12">
        <v>27000</v>
      </c>
      <c r="E12">
        <v>27000</v>
      </c>
      <c r="F12">
        <v>2500</v>
      </c>
    </row>
    <row r="13" spans="1:6" x14ac:dyDescent="0.25">
      <c r="A13" t="s">
        <v>47</v>
      </c>
      <c r="B13" t="s">
        <v>33</v>
      </c>
      <c r="C13" t="s">
        <v>19</v>
      </c>
    </row>
    <row r="14" spans="1:6" x14ac:dyDescent="0.25">
      <c r="A14" t="s">
        <v>38</v>
      </c>
      <c r="B14" t="s">
        <v>49</v>
      </c>
      <c r="C14" t="s">
        <v>24</v>
      </c>
      <c r="D14">
        <v>86000</v>
      </c>
      <c r="E14">
        <v>86000</v>
      </c>
      <c r="F14">
        <v>25000</v>
      </c>
    </row>
    <row r="15" spans="1:6" x14ac:dyDescent="0.25">
      <c r="A15" t="s">
        <v>38</v>
      </c>
      <c r="B15" t="s">
        <v>33</v>
      </c>
      <c r="C15" t="s">
        <v>19</v>
      </c>
      <c r="D15">
        <v>20000</v>
      </c>
      <c r="E15">
        <v>20000</v>
      </c>
      <c r="F15">
        <v>15000</v>
      </c>
    </row>
    <row r="16" spans="1:6" x14ac:dyDescent="0.25">
      <c r="A16" t="s">
        <v>41</v>
      </c>
      <c r="B16" t="s">
        <v>26</v>
      </c>
      <c r="C16" t="s">
        <v>24</v>
      </c>
      <c r="D16">
        <v>999999</v>
      </c>
      <c r="E16">
        <v>999999</v>
      </c>
      <c r="F16">
        <v>999999</v>
      </c>
    </row>
    <row r="17" spans="1:6" x14ac:dyDescent="0.25">
      <c r="A17" t="s">
        <v>41</v>
      </c>
      <c r="B17" t="s">
        <v>33</v>
      </c>
      <c r="C17" t="s">
        <v>19</v>
      </c>
    </row>
    <row r="18" spans="1:6" x14ac:dyDescent="0.25">
      <c r="A18" t="s">
        <v>37</v>
      </c>
      <c r="B18" t="s">
        <v>33</v>
      </c>
      <c r="C18" t="s">
        <v>19</v>
      </c>
      <c r="D18">
        <v>30000</v>
      </c>
      <c r="E18">
        <v>30000</v>
      </c>
      <c r="F18">
        <v>5000</v>
      </c>
    </row>
    <row r="19" spans="1:6" x14ac:dyDescent="0.25">
      <c r="A19" t="s">
        <v>54</v>
      </c>
      <c r="B19" t="s">
        <v>33</v>
      </c>
      <c r="C19" t="s">
        <v>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workbookViewId="0"/>
  </sheetViews>
  <sheetFormatPr defaultRowHeight="15" x14ac:dyDescent="0.25"/>
  <cols>
    <col min="3" max="3" width="20.42578125" bestFit="1" customWidth="1"/>
  </cols>
  <sheetData>
    <row r="1" spans="1:3" x14ac:dyDescent="0.25">
      <c r="A1" s="2" t="s">
        <v>8</v>
      </c>
      <c r="B1" s="2" t="s">
        <v>10</v>
      </c>
      <c r="C1" s="2" t="s">
        <v>72</v>
      </c>
    </row>
    <row r="2" spans="1:3" x14ac:dyDescent="0.25">
      <c r="A2" t="s">
        <v>53</v>
      </c>
      <c r="B2" t="s">
        <v>19</v>
      </c>
    </row>
    <row r="3" spans="1:3" x14ac:dyDescent="0.25">
      <c r="A3" t="s">
        <v>30</v>
      </c>
      <c r="B3" t="s">
        <v>19</v>
      </c>
      <c r="C3">
        <v>7.78</v>
      </c>
    </row>
    <row r="4" spans="1:3" x14ac:dyDescent="0.25">
      <c r="A4" t="s">
        <v>20</v>
      </c>
      <c r="B4" t="s">
        <v>19</v>
      </c>
      <c r="C4">
        <v>34.909999999999997</v>
      </c>
    </row>
    <row r="5" spans="1:3" x14ac:dyDescent="0.25">
      <c r="A5" t="s">
        <v>40</v>
      </c>
      <c r="B5" t="s">
        <v>19</v>
      </c>
    </row>
    <row r="6" spans="1:3" x14ac:dyDescent="0.25">
      <c r="A6" t="s">
        <v>46</v>
      </c>
      <c r="B6" t="s">
        <v>19</v>
      </c>
      <c r="C6">
        <v>96.5</v>
      </c>
    </row>
    <row r="7" spans="1:3" x14ac:dyDescent="0.25">
      <c r="A7" t="s">
        <v>39</v>
      </c>
      <c r="B7" t="s">
        <v>19</v>
      </c>
      <c r="C7">
        <v>4.46</v>
      </c>
    </row>
    <row r="8" spans="1:3" x14ac:dyDescent="0.25">
      <c r="A8" t="s">
        <v>47</v>
      </c>
      <c r="B8" t="s">
        <v>19</v>
      </c>
      <c r="C8">
        <v>15.91</v>
      </c>
    </row>
    <row r="9" spans="1:3" x14ac:dyDescent="0.25">
      <c r="A9" t="s">
        <v>38</v>
      </c>
      <c r="B9" t="s">
        <v>19</v>
      </c>
      <c r="C9">
        <v>40.18</v>
      </c>
    </row>
    <row r="10" spans="1:3" x14ac:dyDescent="0.25">
      <c r="A10" t="s">
        <v>41</v>
      </c>
      <c r="B10" t="s">
        <v>19</v>
      </c>
      <c r="C10">
        <v>19.57</v>
      </c>
    </row>
    <row r="11" spans="1:3" x14ac:dyDescent="0.25">
      <c r="A11" t="s">
        <v>37</v>
      </c>
      <c r="B11" t="s">
        <v>19</v>
      </c>
      <c r="C11">
        <v>48.08</v>
      </c>
    </row>
    <row r="12" spans="1:3" x14ac:dyDescent="0.25">
      <c r="A12" t="s">
        <v>54</v>
      </c>
      <c r="B12" t="s">
        <v>19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961C2B7A-B291-4292-A6D6-F3946C520675}"/>
</file>

<file path=customXml/itemProps2.xml><?xml version="1.0" encoding="utf-8"?>
<ds:datastoreItem xmlns:ds="http://schemas.openxmlformats.org/officeDocument/2006/customXml" ds:itemID="{57379405-3584-4520-B492-BEDAAFE9CA45}"/>
</file>

<file path=customXml/itemProps3.xml><?xml version="1.0" encoding="utf-8"?>
<ds:datastoreItem xmlns:ds="http://schemas.openxmlformats.org/officeDocument/2006/customXml" ds:itemID="{85BCBB88-E525-4101-BD7A-D7100E5A6A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Settings</vt:lpstr>
      <vt:lpstr>Network</vt:lpstr>
      <vt:lpstr>Make</vt:lpstr>
      <vt:lpstr>Store</vt:lpstr>
      <vt:lpstr>Move</vt:lpstr>
      <vt:lpstr>Deliver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Benjamin van Rhyn</cp:lastModifiedBy>
  <dcterms:created xsi:type="dcterms:W3CDTF">2025-12-08T02:01:44Z</dcterms:created>
  <dcterms:modified xsi:type="dcterms:W3CDTF">2025-12-08T20:28:33Z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