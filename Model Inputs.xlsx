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"/>
    </mc:Choice>
  </mc:AlternateContent>
  <xr:revisionPtr revIDLastSave="223" documentId="11_7E30707003E61F287CED5B5C218205197063C565" xr6:coauthVersionLast="47" xr6:coauthVersionMax="47" xr10:uidLastSave="{59ED8D9B-CF6C-4D84-A8AB-CF26C3A1AAC1}"/>
  <bookViews>
    <workbookView xWindow="28680" yWindow="-120" windowWidth="29040" windowHeight="17520" activeTab="1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</sheets>
  <definedNames>
    <definedName name="_xlnm._FilterDatabase" localSheetId="1" hidden="1">Network!$B$1:$K$67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P5" i="2"/>
  <c r="M6" i="2"/>
  <c r="N6" i="2"/>
  <c r="P6" i="2"/>
  <c r="M7" i="2"/>
  <c r="N7" i="2"/>
  <c r="P7" i="2"/>
  <c r="M8" i="2"/>
  <c r="N8" i="2"/>
  <c r="P8" i="2"/>
  <c r="M9" i="2"/>
  <c r="N9" i="2"/>
  <c r="P9" i="2"/>
  <c r="M10" i="2"/>
  <c r="N10" i="2"/>
  <c r="P10" i="2"/>
  <c r="M11" i="2"/>
  <c r="N11" i="2"/>
  <c r="P11" i="2"/>
  <c r="M12" i="2"/>
  <c r="N12" i="2"/>
  <c r="P12" i="2"/>
  <c r="M13" i="2"/>
  <c r="N13" i="2"/>
  <c r="P13" i="2"/>
  <c r="M14" i="2"/>
  <c r="N14" i="2"/>
  <c r="P14" i="2"/>
  <c r="M15" i="2"/>
  <c r="N15" i="2"/>
  <c r="P15" i="2"/>
  <c r="M16" i="2"/>
  <c r="N16" i="2"/>
  <c r="P16" i="2"/>
  <c r="M17" i="2"/>
  <c r="N17" i="2"/>
  <c r="P17" i="2"/>
  <c r="M18" i="2"/>
  <c r="N18" i="2"/>
  <c r="P18" i="2"/>
  <c r="M19" i="2"/>
  <c r="N19" i="2"/>
  <c r="P19" i="2"/>
  <c r="M20" i="2"/>
  <c r="N20" i="2"/>
  <c r="P20" i="2"/>
  <c r="M21" i="2"/>
  <c r="N21" i="2"/>
  <c r="P21" i="2"/>
  <c r="M22" i="2"/>
  <c r="N22" i="2"/>
  <c r="P22" i="2"/>
  <c r="M23" i="2"/>
  <c r="N23" i="2"/>
  <c r="P23" i="2"/>
  <c r="M24" i="2"/>
  <c r="N24" i="2"/>
  <c r="P24" i="2"/>
  <c r="M25" i="2"/>
  <c r="N25" i="2"/>
  <c r="P25" i="2"/>
  <c r="M26" i="2"/>
  <c r="N26" i="2"/>
  <c r="P26" i="2"/>
  <c r="M27" i="2"/>
  <c r="N27" i="2"/>
  <c r="P27" i="2"/>
  <c r="M28" i="2"/>
  <c r="N28" i="2"/>
  <c r="P28" i="2"/>
  <c r="M29" i="2"/>
  <c r="N29" i="2"/>
  <c r="P29" i="2"/>
  <c r="M30" i="2"/>
  <c r="N30" i="2"/>
  <c r="P30" i="2"/>
  <c r="M31" i="2"/>
  <c r="N31" i="2"/>
  <c r="P31" i="2"/>
  <c r="M32" i="2"/>
  <c r="N32" i="2"/>
  <c r="P32" i="2"/>
  <c r="M33" i="2"/>
  <c r="N33" i="2"/>
  <c r="P33" i="2"/>
  <c r="M34" i="2"/>
  <c r="N34" i="2"/>
  <c r="P34" i="2"/>
  <c r="M35" i="2"/>
  <c r="N35" i="2"/>
  <c r="P35" i="2"/>
  <c r="M36" i="2"/>
  <c r="N36" i="2"/>
  <c r="P36" i="2"/>
  <c r="M37" i="2"/>
  <c r="N37" i="2"/>
  <c r="P37" i="2"/>
  <c r="M38" i="2"/>
  <c r="N38" i="2"/>
  <c r="P38" i="2"/>
  <c r="M39" i="2"/>
  <c r="N39" i="2"/>
  <c r="P39" i="2"/>
  <c r="M40" i="2"/>
  <c r="N40" i="2"/>
  <c r="P40" i="2"/>
  <c r="M41" i="2"/>
  <c r="N41" i="2"/>
  <c r="P41" i="2"/>
  <c r="M42" i="2"/>
  <c r="N42" i="2"/>
  <c r="P42" i="2"/>
  <c r="M43" i="2"/>
  <c r="N43" i="2"/>
  <c r="P43" i="2"/>
  <c r="M44" i="2"/>
  <c r="N44" i="2"/>
  <c r="P44" i="2"/>
  <c r="M45" i="2"/>
  <c r="N45" i="2"/>
  <c r="P45" i="2"/>
  <c r="M46" i="2"/>
  <c r="N46" i="2"/>
  <c r="P46" i="2"/>
  <c r="M47" i="2"/>
  <c r="N47" i="2"/>
  <c r="P47" i="2"/>
  <c r="M48" i="2"/>
  <c r="N48" i="2"/>
  <c r="P48" i="2"/>
  <c r="M49" i="2"/>
  <c r="N49" i="2"/>
  <c r="P49" i="2"/>
  <c r="M50" i="2"/>
  <c r="N50" i="2"/>
  <c r="P50" i="2"/>
  <c r="M51" i="2"/>
  <c r="N51" i="2"/>
  <c r="P51" i="2"/>
  <c r="M52" i="2"/>
  <c r="N52" i="2"/>
  <c r="P52" i="2"/>
  <c r="M53" i="2"/>
  <c r="N53" i="2"/>
  <c r="P53" i="2"/>
  <c r="M54" i="2"/>
  <c r="N54" i="2"/>
  <c r="P54" i="2"/>
  <c r="M55" i="2"/>
  <c r="N55" i="2"/>
  <c r="P55" i="2"/>
  <c r="M56" i="2"/>
  <c r="N56" i="2"/>
  <c r="P56" i="2"/>
  <c r="M57" i="2"/>
  <c r="N57" i="2"/>
  <c r="P57" i="2"/>
  <c r="M58" i="2"/>
  <c r="N58" i="2"/>
  <c r="P58" i="2"/>
  <c r="M59" i="2"/>
  <c r="N59" i="2"/>
  <c r="P59" i="2"/>
  <c r="M60" i="2"/>
  <c r="N60" i="2"/>
  <c r="P60" i="2"/>
  <c r="M61" i="2"/>
  <c r="N61" i="2"/>
  <c r="P61" i="2"/>
  <c r="M62" i="2"/>
  <c r="N62" i="2"/>
  <c r="P62" i="2"/>
  <c r="M63" i="2"/>
  <c r="N63" i="2"/>
  <c r="P63" i="2"/>
  <c r="M64" i="2"/>
  <c r="N64" i="2"/>
  <c r="P64" i="2"/>
  <c r="M65" i="2"/>
  <c r="N65" i="2"/>
  <c r="P65" i="2"/>
  <c r="M66" i="2"/>
  <c r="N66" i="2"/>
  <c r="P66" i="2"/>
  <c r="P3" i="2"/>
  <c r="P4" i="2"/>
  <c r="P2" i="2"/>
  <c r="N4" i="2"/>
  <c r="M4" i="2"/>
  <c r="N3" i="2"/>
  <c r="M3" i="2"/>
  <c r="N2" i="2"/>
  <c r="M2" i="2"/>
  <c r="O49" i="2" l="1"/>
  <c r="O41" i="2"/>
  <c r="O44" i="2"/>
  <c r="O61" i="2"/>
  <c r="O54" i="2"/>
  <c r="O36" i="2"/>
  <c r="O45" i="2"/>
  <c r="O60" i="2"/>
  <c r="O40" i="2"/>
  <c r="O56" i="2"/>
  <c r="O64" i="2"/>
  <c r="O65" i="2"/>
  <c r="O5" i="2"/>
  <c r="O29" i="2"/>
  <c r="O57" i="2"/>
  <c r="O33" i="2"/>
  <c r="O30" i="2"/>
  <c r="O62" i="2"/>
  <c r="O38" i="2"/>
  <c r="O34" i="2"/>
  <c r="O6" i="2"/>
  <c r="O48" i="2"/>
  <c r="O52" i="2"/>
  <c r="O42" i="2"/>
  <c r="O37" i="2"/>
  <c r="O53" i="2"/>
  <c r="O22" i="2"/>
  <c r="O46" i="2"/>
  <c r="O14" i="2"/>
  <c r="O58" i="2"/>
  <c r="O18" i="2"/>
  <c r="O10" i="2"/>
  <c r="O66" i="2"/>
  <c r="O50" i="2"/>
  <c r="O26" i="2"/>
  <c r="O9" i="2"/>
  <c r="O11" i="2"/>
  <c r="O59" i="2"/>
  <c r="O51" i="2"/>
  <c r="O39" i="2"/>
  <c r="O31" i="2"/>
  <c r="O23" i="2"/>
  <c r="O19" i="2"/>
  <c r="O7" i="2"/>
  <c r="O32" i="2"/>
  <c r="O28" i="2"/>
  <c r="O24" i="2"/>
  <c r="O20" i="2"/>
  <c r="O16" i="2"/>
  <c r="O12" i="2"/>
  <c r="O8" i="2"/>
  <c r="O63" i="2"/>
  <c r="O55" i="2"/>
  <c r="O47" i="2"/>
  <c r="O43" i="2"/>
  <c r="O35" i="2"/>
  <c r="O27" i="2"/>
  <c r="O15" i="2"/>
  <c r="O25" i="2"/>
  <c r="O21" i="2"/>
  <c r="O17" i="2"/>
  <c r="O13" i="2"/>
  <c r="A3" i="2" a="1"/>
  <c r="A3" i="2" s="1"/>
  <c r="O3" i="2"/>
  <c r="O4" i="2"/>
  <c r="O2" i="2"/>
  <c r="A4" i="2" l="1" a="1"/>
  <c r="A4" i="2" s="1"/>
  <c r="A5" i="2" l="1" a="1"/>
  <c r="A5" i="2" s="1"/>
  <c r="A6" i="2" s="1" a="1"/>
  <c r="A6" i="2" s="1"/>
  <c r="A7" i="2" l="1" a="1"/>
  <c r="A7" i="2" s="1"/>
  <c r="A8" i="2" s="1" a="1"/>
  <c r="A8" i="2" s="1"/>
  <c r="A9" i="2" s="1" a="1"/>
  <c r="A9" i="2" s="1"/>
  <c r="A10" i="2" l="1" a="1"/>
  <c r="A10" i="2" s="1"/>
  <c r="A11" i="2" s="1" a="1"/>
  <c r="A11" i="2" s="1"/>
  <c r="A12" i="2" s="1" a="1"/>
  <c r="A12" i="2" s="1"/>
  <c r="A13" i="2" l="1" a="1"/>
  <c r="A13" i="2" s="1"/>
  <c r="A14" i="2" s="1" a="1"/>
  <c r="A14" i="2" s="1"/>
  <c r="A15" i="2" l="1" a="1"/>
  <c r="A15" i="2" s="1"/>
  <c r="A16" i="2" a="1"/>
  <c r="A16" i="2" s="1"/>
  <c r="A17" i="2" s="1" a="1"/>
  <c r="A17" i="2" s="1"/>
  <c r="A18" i="2" s="1" a="1"/>
  <c r="A18" i="2" s="1"/>
  <c r="A19" i="2" l="1" a="1"/>
  <c r="A19" i="2" s="1"/>
  <c r="A20" i="2" s="1" a="1"/>
  <c r="A20" i="2" s="1"/>
  <c r="A21" i="2" s="1" a="1"/>
  <c r="A21" i="2" s="1"/>
  <c r="A22" i="2" s="1" a="1"/>
  <c r="A22" i="2" s="1"/>
  <c r="A23" i="2" l="1" a="1"/>
  <c r="A23" i="2" s="1"/>
  <c r="A24" i="2" l="1" a="1"/>
  <c r="A24" i="2" s="1"/>
  <c r="A25" i="2" s="1" a="1"/>
  <c r="A25" i="2" s="1"/>
  <c r="A26" i="2" s="1" a="1"/>
  <c r="A26" i="2" s="1"/>
  <c r="A27" i="2" l="1" a="1"/>
  <c r="A27" i="2" s="1"/>
  <c r="A28" i="2" s="1" a="1"/>
  <c r="A28" i="2" s="1"/>
  <c r="A29" i="2" s="1" a="1"/>
  <c r="A29" i="2" s="1"/>
  <c r="A30" i="2" s="1" a="1"/>
  <c r="A30" i="2" s="1"/>
  <c r="A31" i="2" s="1" a="1"/>
  <c r="A31" i="2" s="1"/>
  <c r="A32" i="2" s="1" a="1"/>
  <c r="A32" i="2" s="1"/>
  <c r="A33" i="2" s="1" a="1"/>
  <c r="A33" i="2" s="1"/>
  <c r="A34" i="2" s="1" a="1"/>
  <c r="A34" i="2" s="1"/>
  <c r="A35" i="2" s="1" a="1"/>
  <c r="A35" i="2" s="1"/>
  <c r="A36" i="2" s="1" a="1"/>
  <c r="A36" i="2" s="1"/>
  <c r="A37" i="2" s="1" a="1"/>
  <c r="A37" i="2" s="1"/>
  <c r="A38" i="2" s="1" a="1"/>
  <c r="A38" i="2" s="1"/>
  <c r="A39" i="2" s="1" a="1"/>
  <c r="A39" i="2" s="1"/>
  <c r="A40" i="2" s="1" a="1"/>
  <c r="A40" i="2" s="1"/>
  <c r="A41" i="2" l="1" a="1"/>
  <c r="A41" i="2" s="1"/>
  <c r="A42" i="2" s="1" a="1"/>
  <c r="A42" i="2" s="1"/>
  <c r="A43" i="2" s="1" a="1"/>
  <c r="A43" i="2" s="1"/>
  <c r="A44" i="2" l="1" a="1"/>
  <c r="A44" i="2" s="1"/>
  <c r="A45" i="2" s="1" a="1"/>
  <c r="A45" i="2" s="1"/>
  <c r="A59" i="2" l="1" a="1"/>
  <c r="A59" i="2" s="1"/>
  <c r="A60" i="2" s="1" a="1"/>
  <c r="A60" i="2" s="1"/>
  <c r="A46" i="2" a="1"/>
  <c r="A46" i="2" s="1"/>
  <c r="A47" i="2" l="1" a="1"/>
  <c r="A47" i="2" s="1"/>
  <c r="A48" i="2" s="1" a="1"/>
  <c r="A48" i="2" s="1"/>
  <c r="A49" i="2" s="1" a="1"/>
  <c r="A49" i="2" s="1"/>
  <c r="A50" i="2" s="1" a="1"/>
  <c r="A50" i="2" s="1"/>
  <c r="A51" i="2" s="1" a="1"/>
  <c r="A51" i="2" s="1"/>
  <c r="A52" i="2" s="1" a="1"/>
  <c r="A52" i="2" s="1"/>
  <c r="A53" i="2" s="1" a="1"/>
  <c r="A53" i="2" s="1"/>
  <c r="A61" i="2" a="1"/>
  <c r="A61" i="2" s="1"/>
  <c r="A54" i="2" l="1" a="1"/>
  <c r="A54" i="2" s="1"/>
  <c r="A55" i="2" s="1" a="1"/>
  <c r="A55" i="2" s="1"/>
  <c r="A56" i="2" s="1" a="1"/>
  <c r="A56" i="2" s="1"/>
  <c r="A57" i="2" s="1" a="1"/>
  <c r="A57" i="2" s="1"/>
  <c r="A58" i="2" s="1" a="1"/>
  <c r="A58" i="2" s="1"/>
  <c r="A63" i="2" a="1"/>
  <c r="A63" i="2" s="1"/>
  <c r="A65" i="2" s="1" a="1"/>
  <c r="A65" i="2" s="1"/>
  <c r="A66" i="2" s="1" a="1"/>
  <c r="A66" i="2" s="1"/>
  <c r="A62" i="2" a="1"/>
  <c r="A62" i="2" s="1"/>
  <c r="A64" i="2" l="1" a="1"/>
  <c r="A6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<sst xmlns="http://schemas.openxmlformats.org/spreadsheetml/2006/main" count="672" uniqueCount="59">
  <si>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</si>
  <si>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</si>
  <si>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</si>
  <si>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</si>
  <si>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</si>
  <si>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</si>
  <si>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</si>
  <si>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</si>
  <si>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</si>
  <si>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</si>
  <si>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</si>
  <si>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</si>
  <si>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</si>
  <si>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</si>
  <si>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</si>
  <si>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</si>
  <si>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</si>
  <si>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</si>
  <si>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</si>
  <si>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</si>
  <si>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</si>
  <si>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</si>
  <si>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</si>
  <si>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</si>
  <si>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</si>
  <si>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</si>
  <si>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</si>
  <si>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</si>
  <si>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</si>
  <si>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CM1</t>
  </si>
  <si>
    <t>CM2</t>
  </si>
  <si>
    <t>Bulwer Island</t>
  </si>
  <si>
    <t>GP_STORE</t>
  </si>
  <si>
    <t>CM3</t>
  </si>
  <si>
    <t>CM4</t>
  </si>
  <si>
    <t>Deliver</t>
  </si>
  <si>
    <t>TRUCK</t>
  </si>
  <si>
    <t>TRAIN</t>
  </si>
  <si>
    <t>Townsville</t>
  </si>
  <si>
    <t>Port Kembla</t>
  </si>
  <si>
    <t>Newcastle</t>
  </si>
  <si>
    <t>Mackay</t>
  </si>
  <si>
    <t>Albury</t>
  </si>
  <si>
    <t>Wagga</t>
  </si>
  <si>
    <t>Import</t>
  </si>
  <si>
    <t>CL_STORE_I</t>
  </si>
  <si>
    <t>CM9</t>
  </si>
  <si>
    <t>CM10</t>
  </si>
  <si>
    <t>Railton</t>
  </si>
  <si>
    <t>R1</t>
  </si>
  <si>
    <t>Davenport</t>
  </si>
  <si>
    <t>Melbourne</t>
  </si>
  <si>
    <t>Osborn</t>
  </si>
  <si>
    <t>Mean Production Rate (Tons/hr)</t>
  </si>
  <si>
    <t>Std Dev of Production Rate (Tons/Hr)</t>
  </si>
  <si>
    <t>Planned Maintenance Dates (Days of year)</t>
  </si>
  <si>
    <t>Unplanned downtime %</t>
  </si>
  <si>
    <t>Seq</t>
  </si>
  <si>
    <t>CM5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</si>
</sst>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5" sqref="C5"/>
    </sheetView>
  </sheetViews>
  <sheetFormatPr defaultRowHeight="15" x14ac:dyDescent="0.25"/>
  <cols>
    <col min="1" max="1" width="35.140625" bestFit="1" customWidth="1"/>
    <col min="2" max="2" width="6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8"/>
  <sheetViews>
    <sheetView tabSelected="1" workbookViewId="0">
      <selection activeCell="C23" sqref="C23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1" max="11" width="14.85546875" customWidth="1"/>
    <col min="13" max="13" width="30" bestFit="1" customWidth="1"/>
    <col min="14" max="14" width="29.28515625" bestFit="1" customWidth="1"/>
  </cols>
  <sheetData>
    <row r="1" spans="1:17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57</v>
      </c>
      <c r="M1" t="s">
        <v>16</v>
      </c>
      <c r="N1" t="s">
        <v>17</v>
      </c>
    </row>
    <row r="2" spans="1:17" x14ac:dyDescent="0.25">
      <c r="A2" s="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19</v>
      </c>
      <c r="J2" t="s">
        <v>25</v>
      </c>
      <c r="K2">
        <v>1</v>
      </c>
      <c r="L2" s="2" t="s">
        <v>26</v>
      </c>
      <c r="M2" s="2" t="str">
        <f>C2&amp;F2&amp;D2&amp;E2</f>
        <v>GladstoneMakeK2None</v>
      </c>
      <c r="N2" s="2" t="str">
        <f>I2&amp;H2&amp;J2&amp;G2</f>
        <v>GladstoneStoreCL_STORECL</v>
      </c>
      <c r="O2" s="2">
        <f>COUNTIFS(M:M,N2)</f>
        <v>3</v>
      </c>
      <c r="P2" s="2" t="str">
        <f>C2&amp;F2&amp;G2</f>
        <v>GladstoneMakeCL</v>
      </c>
      <c r="Q2" s="2"/>
    </row>
    <row r="3" spans="1:17" x14ac:dyDescent="0.25">
      <c r="A3" s="2" cm="1">
        <f t="array" ref="A3">IF(ISNA(_xlfn.XLOOKUP(P3,$P$2:P2,$A$2:A2)),IF(COUNTIFS($P$2:P3,P3)=1,IF(COUNTIFS($C$2:C2,C3)=0,1,_xlfn.MAXIFS($A$2:A2,$C$2:C2,C3)+1),A2),_xlfn.XLOOKUP(P3,$P$2:P2,$A$2:A2))</f>
        <v>2</v>
      </c>
      <c r="B3" t="s">
        <v>18</v>
      </c>
      <c r="C3" t="s">
        <v>19</v>
      </c>
      <c r="D3" t="s">
        <v>25</v>
      </c>
      <c r="E3" t="s">
        <v>23</v>
      </c>
      <c r="F3" t="s">
        <v>24</v>
      </c>
      <c r="G3" t="s">
        <v>23</v>
      </c>
      <c r="H3" t="s">
        <v>27</v>
      </c>
      <c r="I3" t="s">
        <v>19</v>
      </c>
      <c r="J3" t="s">
        <v>28</v>
      </c>
      <c r="K3">
        <v>2</v>
      </c>
      <c r="L3" s="2" t="s">
        <v>26</v>
      </c>
      <c r="M3" s="2" t="str">
        <f>C3&amp;F3&amp;D3&amp;E3</f>
        <v>GladstoneStoreCL_STORECL</v>
      </c>
      <c r="N3" s="2" t="str">
        <f>I3&amp;H3&amp;J3&amp;G3</f>
        <v>GladstoneMoveSHIPCL</v>
      </c>
      <c r="O3" s="2">
        <f>COUNTIFS(M:M,N3)</f>
        <v>1</v>
      </c>
      <c r="P3" s="2" t="str">
        <f>C3&amp;F3&amp;G3</f>
        <v>GladstoneStoreCL</v>
      </c>
      <c r="Q3" s="2"/>
    </row>
    <row r="4" spans="1:17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18</v>
      </c>
      <c r="C4" t="s">
        <v>19</v>
      </c>
      <c r="D4" t="s">
        <v>28</v>
      </c>
      <c r="E4" t="s">
        <v>23</v>
      </c>
      <c r="F4" t="s">
        <v>27</v>
      </c>
      <c r="G4" t="s">
        <v>23</v>
      </c>
      <c r="H4" t="s">
        <v>24</v>
      </c>
      <c r="I4" t="s">
        <v>31</v>
      </c>
      <c r="J4" t="s">
        <v>25</v>
      </c>
      <c r="K4">
        <v>3</v>
      </c>
      <c r="L4" t="s">
        <v>26</v>
      </c>
      <c r="M4" t="str">
        <f>C4&amp;F4&amp;D4&amp;E4</f>
        <v>GladstoneMoveSHIPCL</v>
      </c>
      <c r="N4" t="str">
        <f>I4&amp;H4&amp;J4&amp;G4</f>
        <v>Bulwer IslandStoreCL_STORECL</v>
      </c>
      <c r="O4">
        <f>COUNTIFS(M:M,N4)</f>
        <v>2</v>
      </c>
      <c r="P4" t="str">
        <f>C4&amp;F4&amp;G4</f>
        <v>GladstoneMoveCL</v>
      </c>
    </row>
    <row r="5" spans="1:17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18</v>
      </c>
      <c r="C5" t="s">
        <v>19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19</v>
      </c>
      <c r="J5" t="s">
        <v>29</v>
      </c>
      <c r="K5">
        <v>2</v>
      </c>
      <c r="L5" t="s">
        <v>26</v>
      </c>
      <c r="M5" t="str">
        <f>C5&amp;F5&amp;D5&amp;E5</f>
        <v>GladstoneStoreCL_STORECL</v>
      </c>
      <c r="N5" t="str">
        <f>I5&amp;H5&amp;J5&amp;G5</f>
        <v>GladstoneMakeCM1CL</v>
      </c>
      <c r="O5">
        <f t="shared" ref="O5:O66" si="0">COUNTIFS(M:M,N5)</f>
        <v>1</v>
      </c>
      <c r="P5" t="str">
        <f>C5&amp;F5&amp;G5</f>
        <v>GladstoneStoreCL</v>
      </c>
    </row>
    <row r="6" spans="1:17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18</v>
      </c>
      <c r="C6" t="s">
        <v>19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19</v>
      </c>
      <c r="J6" t="s">
        <v>30</v>
      </c>
      <c r="K6">
        <v>2</v>
      </c>
      <c r="L6" t="s">
        <v>26</v>
      </c>
      <c r="M6" t="str">
        <f>C6&amp;F6&amp;D6&amp;E6</f>
        <v>GladstoneStoreCL_STORECL</v>
      </c>
      <c r="N6" t="str">
        <f>I6&amp;H6&amp;J6&amp;G6</f>
        <v>GladstoneMakeCM2CL</v>
      </c>
      <c r="O6">
        <f t="shared" si="0"/>
        <v>1</v>
      </c>
      <c r="P6" t="str">
        <f>C6&amp;F6&amp;G6</f>
        <v>GladstoneStoreCL</v>
      </c>
    </row>
    <row r="7" spans="1:17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18</v>
      </c>
      <c r="C7" t="s">
        <v>19</v>
      </c>
      <c r="D7" t="s">
        <v>29</v>
      </c>
      <c r="E7" t="s">
        <v>23</v>
      </c>
      <c r="F7" t="s">
        <v>22</v>
      </c>
      <c r="G7" t="s">
        <v>18</v>
      </c>
      <c r="H7" t="s">
        <v>24</v>
      </c>
      <c r="I7" t="s">
        <v>19</v>
      </c>
      <c r="J7" t="s">
        <v>32</v>
      </c>
      <c r="K7">
        <v>1</v>
      </c>
      <c r="L7" t="s">
        <v>26</v>
      </c>
      <c r="M7" t="str">
        <f>C7&amp;F7&amp;D7&amp;E7</f>
        <v>GladstoneMakeCM1CL</v>
      </c>
      <c r="N7" t="str">
        <f>I7&amp;H7&amp;J7&amp;G7</f>
        <v>GladstoneStoreGP_STOREGP</v>
      </c>
      <c r="O7">
        <f t="shared" si="0"/>
        <v>3</v>
      </c>
      <c r="P7" t="str">
        <f>C7&amp;F7&amp;G7</f>
        <v>GladstoneMakeGP</v>
      </c>
    </row>
    <row r="8" spans="1:17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18</v>
      </c>
      <c r="C8" t="s">
        <v>19</v>
      </c>
      <c r="D8" t="s">
        <v>30</v>
      </c>
      <c r="E8" t="s">
        <v>23</v>
      </c>
      <c r="F8" t="s">
        <v>22</v>
      </c>
      <c r="G8" t="s">
        <v>18</v>
      </c>
      <c r="H8" t="s">
        <v>24</v>
      </c>
      <c r="I8" t="s">
        <v>19</v>
      </c>
      <c r="J8" t="s">
        <v>32</v>
      </c>
      <c r="K8">
        <v>1</v>
      </c>
      <c r="L8" t="s">
        <v>26</v>
      </c>
      <c r="M8" t="str">
        <f>C8&amp;F8&amp;D8&amp;E8</f>
        <v>GladstoneMakeCM2CL</v>
      </c>
      <c r="N8" t="str">
        <f>I8&amp;H8&amp;J8&amp;G8</f>
        <v>GladstoneStoreGP_STOREGP</v>
      </c>
      <c r="O8">
        <f t="shared" si="0"/>
        <v>3</v>
      </c>
      <c r="P8" t="str">
        <f>C8&amp;F8&amp;G8</f>
        <v>GladstoneMakeGP</v>
      </c>
    </row>
    <row r="9" spans="1:17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18</v>
      </c>
      <c r="C9" t="s">
        <v>19</v>
      </c>
      <c r="D9" t="s">
        <v>32</v>
      </c>
      <c r="E9" t="s">
        <v>18</v>
      </c>
      <c r="F9" t="s">
        <v>24</v>
      </c>
      <c r="G9" t="s">
        <v>18</v>
      </c>
      <c r="H9" t="s">
        <v>27</v>
      </c>
      <c r="I9" t="s">
        <v>19</v>
      </c>
      <c r="J9" t="s">
        <v>28</v>
      </c>
      <c r="K9">
        <v>2</v>
      </c>
      <c r="L9" t="s">
        <v>26</v>
      </c>
      <c r="M9" t="str">
        <f>C9&amp;F9&amp;D9&amp;E9</f>
        <v>GladstoneStoreGP_STOREGP</v>
      </c>
      <c r="N9" t="str">
        <f>I9&amp;H9&amp;J9&amp;G9</f>
        <v>GladstoneMoveSHIPGP</v>
      </c>
      <c r="O9">
        <f t="shared" si="0"/>
        <v>4</v>
      </c>
      <c r="P9" t="str">
        <f>C9&amp;F9&amp;G9</f>
        <v>GladstoneStoreGP</v>
      </c>
    </row>
    <row r="10" spans="1:17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18</v>
      </c>
      <c r="C10" t="s">
        <v>19</v>
      </c>
      <c r="D10" t="s">
        <v>32</v>
      </c>
      <c r="E10" t="s">
        <v>18</v>
      </c>
      <c r="F10" t="s">
        <v>24</v>
      </c>
      <c r="G10" t="s">
        <v>18</v>
      </c>
      <c r="H10" t="s">
        <v>27</v>
      </c>
      <c r="I10" t="s">
        <v>19</v>
      </c>
      <c r="J10" t="s">
        <v>37</v>
      </c>
      <c r="K10">
        <v>2</v>
      </c>
      <c r="L10" t="s">
        <v>26</v>
      </c>
      <c r="M10" t="str">
        <f>C10&amp;F10&amp;D10&amp;E10</f>
        <v>GladstoneStoreGP_STOREGP</v>
      </c>
      <c r="N10" t="str">
        <f>I10&amp;H10&amp;J10&amp;G10</f>
        <v>GladstoneMoveTRAINGP</v>
      </c>
      <c r="O10">
        <f t="shared" si="0"/>
        <v>1</v>
      </c>
      <c r="P10" t="str">
        <f>C10&amp;F10&amp;G10</f>
        <v>GladstoneStoreGP</v>
      </c>
    </row>
    <row r="11" spans="1:17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18</v>
      </c>
      <c r="C11" t="s">
        <v>19</v>
      </c>
      <c r="D11" t="s">
        <v>32</v>
      </c>
      <c r="E11" t="s">
        <v>18</v>
      </c>
      <c r="F11" t="s">
        <v>24</v>
      </c>
      <c r="G11" t="s">
        <v>18</v>
      </c>
      <c r="H11" t="s">
        <v>35</v>
      </c>
      <c r="I11" t="s">
        <v>19</v>
      </c>
      <c r="J11" t="s">
        <v>36</v>
      </c>
      <c r="K11">
        <v>2</v>
      </c>
      <c r="L11" t="s">
        <v>26</v>
      </c>
      <c r="M11" t="str">
        <f>C11&amp;F11&amp;D11&amp;E11</f>
        <v>GladstoneStoreGP_STOREGP</v>
      </c>
      <c r="N11" t="str">
        <f>I11&amp;H11&amp;J11&amp;G11</f>
        <v>GladstoneDeliverTRUCKGP</v>
      </c>
      <c r="O11">
        <f t="shared" si="0"/>
        <v>1</v>
      </c>
      <c r="P11" t="str">
        <f>C11&amp;F11&amp;G11</f>
        <v>GladstoneStoreGP</v>
      </c>
    </row>
    <row r="12" spans="1:17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18</v>
      </c>
      <c r="C12" t="s">
        <v>19</v>
      </c>
      <c r="D12" t="s">
        <v>28</v>
      </c>
      <c r="E12" t="s">
        <v>18</v>
      </c>
      <c r="F12" t="s">
        <v>27</v>
      </c>
      <c r="G12" t="s">
        <v>18</v>
      </c>
      <c r="H12" t="s">
        <v>24</v>
      </c>
      <c r="I12" t="s">
        <v>38</v>
      </c>
      <c r="J12" t="s">
        <v>32</v>
      </c>
      <c r="K12">
        <v>3</v>
      </c>
      <c r="L12" t="s">
        <v>26</v>
      </c>
      <c r="M12" t="str">
        <f>C12&amp;F12&amp;D12&amp;E12</f>
        <v>GladstoneMoveSHIPGP</v>
      </c>
      <c r="N12" t="str">
        <f>I12&amp;H12&amp;J12&amp;G12</f>
        <v>TownsvilleStoreGP_STOREGP</v>
      </c>
      <c r="O12">
        <f t="shared" si="0"/>
        <v>1</v>
      </c>
      <c r="P12" t="str">
        <f>C12&amp;F12&amp;G12</f>
        <v>GladstoneMoveGP</v>
      </c>
    </row>
    <row r="13" spans="1:17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18</v>
      </c>
      <c r="C13" t="s">
        <v>19</v>
      </c>
      <c r="D13" t="s">
        <v>28</v>
      </c>
      <c r="E13" t="s">
        <v>18</v>
      </c>
      <c r="F13" t="s">
        <v>27</v>
      </c>
      <c r="G13" t="s">
        <v>18</v>
      </c>
      <c r="H13" t="s">
        <v>24</v>
      </c>
      <c r="I13" t="s">
        <v>39</v>
      </c>
      <c r="J13" t="s">
        <v>32</v>
      </c>
      <c r="K13">
        <v>3</v>
      </c>
      <c r="L13" t="s">
        <v>26</v>
      </c>
      <c r="M13" t="str">
        <f>C13&amp;F13&amp;D13&amp;E13</f>
        <v>GladstoneMoveSHIPGP</v>
      </c>
      <c r="N13" t="str">
        <f>I13&amp;H13&amp;J13&amp;G13</f>
        <v>Port KemblaStoreGP_STOREGP</v>
      </c>
      <c r="O13">
        <f t="shared" si="0"/>
        <v>2</v>
      </c>
      <c r="P13" t="str">
        <f>C13&amp;F13&amp;G13</f>
        <v>GladstoneMoveGP</v>
      </c>
    </row>
    <row r="14" spans="1:17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18</v>
      </c>
      <c r="C14" t="s">
        <v>19</v>
      </c>
      <c r="D14" t="s">
        <v>28</v>
      </c>
      <c r="E14" t="s">
        <v>18</v>
      </c>
      <c r="F14" t="s">
        <v>27</v>
      </c>
      <c r="G14" t="s">
        <v>18</v>
      </c>
      <c r="H14" t="s">
        <v>24</v>
      </c>
      <c r="I14" t="s">
        <v>40</v>
      </c>
      <c r="J14" t="s">
        <v>32</v>
      </c>
      <c r="K14">
        <v>3</v>
      </c>
      <c r="L14" t="s">
        <v>26</v>
      </c>
      <c r="M14" t="str">
        <f>C14&amp;F14&amp;D14&amp;E14</f>
        <v>GladstoneMoveSHIPGP</v>
      </c>
      <c r="N14" t="str">
        <f>I14&amp;H14&amp;J14&amp;G14</f>
        <v>NewcastleStoreGP_STOREGP</v>
      </c>
      <c r="O14">
        <f t="shared" si="0"/>
        <v>2</v>
      </c>
      <c r="P14" t="str">
        <f>C14&amp;F14&amp;G14</f>
        <v>GladstoneMoveGP</v>
      </c>
    </row>
    <row r="15" spans="1:17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18</v>
      </c>
      <c r="C15" t="s">
        <v>19</v>
      </c>
      <c r="D15" t="s">
        <v>28</v>
      </c>
      <c r="E15" t="s">
        <v>18</v>
      </c>
      <c r="F15" t="s">
        <v>27</v>
      </c>
      <c r="G15" t="s">
        <v>18</v>
      </c>
      <c r="H15" t="s">
        <v>24</v>
      </c>
      <c r="I15" t="s">
        <v>31</v>
      </c>
      <c r="J15" t="s">
        <v>32</v>
      </c>
      <c r="K15">
        <v>3</v>
      </c>
      <c r="L15" t="s">
        <v>26</v>
      </c>
      <c r="M15" t="str">
        <f>C15&amp;F15&amp;D15&amp;E15</f>
        <v>GladstoneMoveSHIPGP</v>
      </c>
      <c r="N15" t="str">
        <f>I15&amp;H15&amp;J15&amp;G15</f>
        <v>Bulwer IslandStoreGP_STOREGP</v>
      </c>
      <c r="O15">
        <f t="shared" si="0"/>
        <v>1</v>
      </c>
      <c r="P15" t="str">
        <f>C15&amp;F15&amp;G15</f>
        <v>GladstoneMoveGP</v>
      </c>
    </row>
    <row r="16" spans="1:17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18</v>
      </c>
      <c r="C16" t="s">
        <v>19</v>
      </c>
      <c r="D16" t="s">
        <v>37</v>
      </c>
      <c r="E16" t="s">
        <v>18</v>
      </c>
      <c r="F16" t="s">
        <v>27</v>
      </c>
      <c r="G16" t="s">
        <v>18</v>
      </c>
      <c r="H16" t="s">
        <v>24</v>
      </c>
      <c r="I16" t="s">
        <v>41</v>
      </c>
      <c r="J16" t="s">
        <v>32</v>
      </c>
      <c r="K16">
        <v>3</v>
      </c>
      <c r="L16" t="s">
        <v>26</v>
      </c>
      <c r="M16" t="str">
        <f>C16&amp;F16&amp;D16&amp;E16</f>
        <v>GladstoneMoveTRAINGP</v>
      </c>
      <c r="N16" t="str">
        <f>I16&amp;H16&amp;J16&amp;G16</f>
        <v>MackayStoreGP_STOREGP</v>
      </c>
      <c r="O16">
        <f t="shared" si="0"/>
        <v>1</v>
      </c>
      <c r="P16" t="str">
        <f>C16&amp;F16&amp;G16</f>
        <v>GladstoneMoveGP</v>
      </c>
    </row>
    <row r="17" spans="1:16" x14ac:dyDescent="0.25">
      <c r="A17" cm="1">
        <f t="array" ref="A17">IF(ISNA(_xlfn.XLOOKUP(P17,$P$2:P16,$A$2:A16)),IF(COUNTIFS($P$2:P17,P17)=1,IF(COUNTIFS($C$2:C16,C17)=0,1,_xlfn.MAXIFS($A$2:A16,$C$2:C16,C17)+1),A16),_xlfn.XLOOKUP(P17,$P$2:P16,$A$2:A16))</f>
        <v>7</v>
      </c>
      <c r="B17" t="s">
        <v>18</v>
      </c>
      <c r="C17" t="s">
        <v>19</v>
      </c>
      <c r="D17" t="s">
        <v>36</v>
      </c>
      <c r="E17" t="s">
        <v>18</v>
      </c>
      <c r="F17" t="s">
        <v>35</v>
      </c>
      <c r="G17" t="s">
        <v>18</v>
      </c>
      <c r="H17" t="s">
        <v>21</v>
      </c>
      <c r="K17">
        <v>4</v>
      </c>
      <c r="L17" t="s">
        <v>26</v>
      </c>
      <c r="M17" t="str">
        <f>C17&amp;F17&amp;D17&amp;E17</f>
        <v>GladstoneDeliverTRUCKGP</v>
      </c>
      <c r="N17" t="str">
        <f>I17&amp;H17&amp;J17&amp;G17</f>
        <v>NoneGP</v>
      </c>
      <c r="O17">
        <f t="shared" si="0"/>
        <v>0</v>
      </c>
      <c r="P17" t="str">
        <f>C17&amp;F17&amp;G17</f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18</v>
      </c>
      <c r="C18" t="s">
        <v>48</v>
      </c>
      <c r="D18" t="s">
        <v>49</v>
      </c>
      <c r="E18" t="s">
        <v>21</v>
      </c>
      <c r="F18" t="s">
        <v>22</v>
      </c>
      <c r="G18" t="s">
        <v>23</v>
      </c>
      <c r="H18" t="s">
        <v>24</v>
      </c>
      <c r="I18" t="s">
        <v>48</v>
      </c>
      <c r="J18" t="s">
        <v>25</v>
      </c>
      <c r="K18">
        <v>1</v>
      </c>
      <c r="L18" t="s">
        <v>26</v>
      </c>
      <c r="M18" t="str">
        <f>C18&amp;F18&amp;D18&amp;E18</f>
        <v>RailtonMakeR1None</v>
      </c>
      <c r="N18" t="str">
        <f>I18&amp;H18&amp;J18&amp;G18</f>
        <v>RailtonStoreCL_STORECL</v>
      </c>
      <c r="O18">
        <f t="shared" si="0"/>
        <v>2</v>
      </c>
      <c r="P18" t="str">
        <f>C18&amp;F18&amp;G18</f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18</v>
      </c>
      <c r="C19" t="s">
        <v>48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48</v>
      </c>
      <c r="J19" t="s">
        <v>34</v>
      </c>
      <c r="K19">
        <v>2</v>
      </c>
      <c r="L19" t="s">
        <v>26</v>
      </c>
      <c r="M19" t="str">
        <f>C19&amp;F19&amp;D19&amp;E19</f>
        <v>RailtonStoreCL_STORECL</v>
      </c>
      <c r="N19" t="str">
        <f>I19&amp;H19&amp;J19&amp;G19</f>
        <v>RailtonMakeCM4CL</v>
      </c>
      <c r="O19">
        <f t="shared" si="0"/>
        <v>1</v>
      </c>
      <c r="P19" t="str">
        <f>C19&amp;F19&amp;G19</f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18</v>
      </c>
      <c r="C20" t="s">
        <v>48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48</v>
      </c>
      <c r="J20" t="s">
        <v>58</v>
      </c>
      <c r="K20">
        <v>2</v>
      </c>
      <c r="L20" t="s">
        <v>26</v>
      </c>
      <c r="M20" t="str">
        <f>C20&amp;F20&amp;D20&amp;E20</f>
        <v>RailtonStoreCL_STORECL</v>
      </c>
      <c r="N20" t="str">
        <f>I20&amp;H20&amp;J20&amp;G20</f>
        <v>RailtonMakeCM5CL</v>
      </c>
      <c r="O20">
        <f t="shared" si="0"/>
        <v>1</v>
      </c>
      <c r="P20" t="str">
        <f>C20&amp;F20&amp;G20</f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18</v>
      </c>
      <c r="C21" t="s">
        <v>48</v>
      </c>
      <c r="D21" t="s">
        <v>34</v>
      </c>
      <c r="E21" t="s">
        <v>23</v>
      </c>
      <c r="F21" t="s">
        <v>22</v>
      </c>
      <c r="G21" t="s">
        <v>18</v>
      </c>
      <c r="H21" t="s">
        <v>24</v>
      </c>
      <c r="I21" t="s">
        <v>48</v>
      </c>
      <c r="J21" t="s">
        <v>32</v>
      </c>
      <c r="K21">
        <v>2</v>
      </c>
      <c r="L21" t="s">
        <v>26</v>
      </c>
      <c r="M21" t="str">
        <f t="shared" ref="M21:M66" si="1">C21&amp;F21&amp;D21&amp;E21</f>
        <v>RailtonMakeCM4CL</v>
      </c>
      <c r="N21" t="str">
        <f t="shared" ref="N21:N66" si="2">I21&amp;H21&amp;J21&amp;G21</f>
        <v>RailtonStoreGP_STOREGP</v>
      </c>
      <c r="O21">
        <f t="shared" si="0"/>
        <v>2</v>
      </c>
      <c r="P21" t="str">
        <f t="shared" ref="P21:P66" si="3">C21&amp;F21&amp;G21</f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18</v>
      </c>
      <c r="C22" t="s">
        <v>48</v>
      </c>
      <c r="D22" t="s">
        <v>58</v>
      </c>
      <c r="E22" t="s">
        <v>23</v>
      </c>
      <c r="F22" t="s">
        <v>22</v>
      </c>
      <c r="G22" t="s">
        <v>18</v>
      </c>
      <c r="H22" t="s">
        <v>24</v>
      </c>
      <c r="I22" t="s">
        <v>48</v>
      </c>
      <c r="J22" t="s">
        <v>32</v>
      </c>
      <c r="K22">
        <v>2</v>
      </c>
      <c r="L22" t="s">
        <v>26</v>
      </c>
      <c r="M22" t="str">
        <f t="shared" si="1"/>
        <v>RailtonMakeCM5CL</v>
      </c>
      <c r="N22" t="str">
        <f t="shared" si="2"/>
        <v>RailtonStoreGP_STOREGP</v>
      </c>
      <c r="O22">
        <f t="shared" si="0"/>
        <v>2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4</v>
      </c>
      <c r="B23" t="s">
        <v>18</v>
      </c>
      <c r="C23" t="s">
        <v>48</v>
      </c>
      <c r="D23" t="s">
        <v>32</v>
      </c>
      <c r="E23" t="s">
        <v>18</v>
      </c>
      <c r="F23" t="s">
        <v>24</v>
      </c>
      <c r="G23" t="s">
        <v>18</v>
      </c>
      <c r="H23" t="s">
        <v>35</v>
      </c>
      <c r="I23" t="s">
        <v>48</v>
      </c>
      <c r="J23" t="s">
        <v>36</v>
      </c>
      <c r="K23">
        <v>2</v>
      </c>
      <c r="L23" t="s">
        <v>26</v>
      </c>
      <c r="M23" t="str">
        <f t="shared" si="1"/>
        <v>RailtonStoreGP_STOREGP</v>
      </c>
      <c r="N23" t="str">
        <f t="shared" si="2"/>
        <v>RailtonDeliverTRUCKGP</v>
      </c>
      <c r="O23">
        <f t="shared" si="0"/>
        <v>1</v>
      </c>
      <c r="P23" t="str">
        <f t="shared" si="3"/>
        <v>RailtonStoreGP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4</v>
      </c>
      <c r="B24" t="s">
        <v>18</v>
      </c>
      <c r="C24" t="s">
        <v>48</v>
      </c>
      <c r="D24" t="s">
        <v>32</v>
      </c>
      <c r="E24" t="s">
        <v>18</v>
      </c>
      <c r="F24" t="s">
        <v>24</v>
      </c>
      <c r="G24" t="s">
        <v>18</v>
      </c>
      <c r="H24" t="s">
        <v>27</v>
      </c>
      <c r="I24" t="s">
        <v>48</v>
      </c>
      <c r="J24" t="s">
        <v>37</v>
      </c>
      <c r="K24">
        <v>2</v>
      </c>
      <c r="L24" t="s">
        <v>26</v>
      </c>
      <c r="M24" t="str">
        <f t="shared" si="1"/>
        <v>RailtonStoreGP_STOREGP</v>
      </c>
      <c r="N24" t="str">
        <f t="shared" si="2"/>
        <v>RailtonMoveTRAINGP</v>
      </c>
      <c r="O24">
        <f t="shared" si="0"/>
        <v>1</v>
      </c>
      <c r="P24" t="str">
        <f t="shared" si="3"/>
        <v>RailtonStoreGP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5</v>
      </c>
      <c r="B25" t="s">
        <v>18</v>
      </c>
      <c r="C25" t="s">
        <v>48</v>
      </c>
      <c r="D25" t="s">
        <v>37</v>
      </c>
      <c r="E25" t="s">
        <v>18</v>
      </c>
      <c r="F25" t="s">
        <v>27</v>
      </c>
      <c r="G25" t="s">
        <v>18</v>
      </c>
      <c r="H25" t="s">
        <v>24</v>
      </c>
      <c r="I25" t="s">
        <v>50</v>
      </c>
      <c r="J25" t="s">
        <v>32</v>
      </c>
      <c r="K25">
        <v>3</v>
      </c>
      <c r="L25" t="s">
        <v>26</v>
      </c>
      <c r="M25" t="str">
        <f t="shared" si="1"/>
        <v>RailtonMoveTRAINGP</v>
      </c>
      <c r="N25" t="str">
        <f t="shared" si="2"/>
        <v>DavenportStoreGP_STOREGP</v>
      </c>
      <c r="O25">
        <f t="shared" si="0"/>
        <v>1</v>
      </c>
      <c r="P25" t="str">
        <f t="shared" si="3"/>
        <v>RailtonMoveGP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6</v>
      </c>
      <c r="B26" t="s">
        <v>18</v>
      </c>
      <c r="C26" t="s">
        <v>48</v>
      </c>
      <c r="D26" t="s">
        <v>36</v>
      </c>
      <c r="E26" t="s">
        <v>18</v>
      </c>
      <c r="F26" t="s">
        <v>35</v>
      </c>
      <c r="G26" t="s">
        <v>18</v>
      </c>
      <c r="H26" t="s">
        <v>21</v>
      </c>
      <c r="K26">
        <v>4</v>
      </c>
      <c r="L26" t="s">
        <v>26</v>
      </c>
      <c r="M26" t="str">
        <f t="shared" si="1"/>
        <v>RailtonDeliverTRUCKGP</v>
      </c>
      <c r="N26" t="str">
        <f t="shared" si="2"/>
        <v>NoneGP</v>
      </c>
      <c r="O26">
        <f t="shared" si="0"/>
        <v>0</v>
      </c>
      <c r="P26" t="str">
        <f t="shared" si="3"/>
        <v>RailtonDeliverGP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1</v>
      </c>
      <c r="B27" t="s">
        <v>18</v>
      </c>
      <c r="C27" t="s">
        <v>50</v>
      </c>
      <c r="D27" t="s">
        <v>32</v>
      </c>
      <c r="E27" t="s">
        <v>18</v>
      </c>
      <c r="F27" t="s">
        <v>24</v>
      </c>
      <c r="G27" t="s">
        <v>18</v>
      </c>
      <c r="H27" t="s">
        <v>27</v>
      </c>
      <c r="I27" t="s">
        <v>50</v>
      </c>
      <c r="J27" t="s">
        <v>28</v>
      </c>
      <c r="K27">
        <v>2</v>
      </c>
      <c r="L27" t="s">
        <v>26</v>
      </c>
      <c r="M27" t="str">
        <f t="shared" si="1"/>
        <v>DavenportStoreGP_STOREGP</v>
      </c>
      <c r="N27" t="str">
        <f t="shared" si="2"/>
        <v>DavenportMoveSHIPGP</v>
      </c>
      <c r="O27">
        <f t="shared" si="0"/>
        <v>3</v>
      </c>
      <c r="P27" t="str">
        <f t="shared" si="3"/>
        <v>DavenportStoreGP</v>
      </c>
    </row>
    <row r="28" spans="1:16" x14ac:dyDescent="0.25">
      <c r="A28" cm="1">
        <f t="array" ref="A28">IF(ISNA(_xlfn.XLOOKUP(P28,$P$2:P27,$A$2:A27)),IF(COUNTIFS($P$2:P28,P28)=1,IF(COUNTIFS($C$2:C27,C28)=0,1,_xlfn.MAXIFS($A$2:A27,$C$2:C27,C28)+1),A27),_xlfn.XLOOKUP(P28,$P$2:P27,$A$2:A27))</f>
        <v>2</v>
      </c>
      <c r="B28" t="s">
        <v>18</v>
      </c>
      <c r="C28" t="s">
        <v>50</v>
      </c>
      <c r="D28" t="s">
        <v>28</v>
      </c>
      <c r="E28" t="s">
        <v>18</v>
      </c>
      <c r="F28" t="s">
        <v>27</v>
      </c>
      <c r="G28" t="s">
        <v>18</v>
      </c>
      <c r="H28" t="s">
        <v>24</v>
      </c>
      <c r="I28" t="s">
        <v>51</v>
      </c>
      <c r="J28" t="s">
        <v>32</v>
      </c>
      <c r="K28">
        <v>3</v>
      </c>
      <c r="L28" t="s">
        <v>26</v>
      </c>
      <c r="M28" t="str">
        <f t="shared" si="1"/>
        <v>DavenportMoveSHIPGP</v>
      </c>
      <c r="N28" t="str">
        <f t="shared" si="2"/>
        <v>MelbourneStoreGP_STOREGP</v>
      </c>
      <c r="O28">
        <f t="shared" si="0"/>
        <v>1</v>
      </c>
      <c r="P28" t="str">
        <f t="shared" si="3"/>
        <v>DavenportMoveGP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2</v>
      </c>
      <c r="B29" t="s">
        <v>18</v>
      </c>
      <c r="C29" t="s">
        <v>50</v>
      </c>
      <c r="D29" t="s">
        <v>28</v>
      </c>
      <c r="E29" t="s">
        <v>18</v>
      </c>
      <c r="F29" t="s">
        <v>27</v>
      </c>
      <c r="G29" t="s">
        <v>18</v>
      </c>
      <c r="H29" t="s">
        <v>24</v>
      </c>
      <c r="I29" t="s">
        <v>52</v>
      </c>
      <c r="J29" t="s">
        <v>32</v>
      </c>
      <c r="K29">
        <v>3</v>
      </c>
      <c r="L29" t="s">
        <v>26</v>
      </c>
      <c r="M29" t="str">
        <f t="shared" si="1"/>
        <v>DavenportMoveSHIPGP</v>
      </c>
      <c r="N29" t="str">
        <f t="shared" si="2"/>
        <v>OsbornStoreGP_STOREGP</v>
      </c>
      <c r="O29">
        <f t="shared" si="0"/>
        <v>1</v>
      </c>
      <c r="P29" t="str">
        <f t="shared" si="3"/>
        <v>DavenportMoveGP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18</v>
      </c>
      <c r="C30" t="s">
        <v>50</v>
      </c>
      <c r="D30" t="s">
        <v>28</v>
      </c>
      <c r="E30" t="s">
        <v>18</v>
      </c>
      <c r="F30" t="s">
        <v>27</v>
      </c>
      <c r="G30" t="s">
        <v>18</v>
      </c>
      <c r="H30" t="s">
        <v>24</v>
      </c>
      <c r="I30" t="s">
        <v>40</v>
      </c>
      <c r="J30" t="s">
        <v>32</v>
      </c>
      <c r="K30">
        <v>3</v>
      </c>
      <c r="L30" t="s">
        <v>26</v>
      </c>
      <c r="M30" t="str">
        <f t="shared" si="1"/>
        <v>DavenportMoveSHIPGP</v>
      </c>
      <c r="N30" t="str">
        <f t="shared" si="2"/>
        <v>NewcastleStoreGP_STOREGP</v>
      </c>
      <c r="O30">
        <f t="shared" si="0"/>
        <v>2</v>
      </c>
      <c r="P30" t="str">
        <f t="shared" si="3"/>
        <v>DavenportMoveGP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1</v>
      </c>
      <c r="B31" t="s">
        <v>18</v>
      </c>
      <c r="C31" t="s">
        <v>44</v>
      </c>
      <c r="D31" t="s">
        <v>25</v>
      </c>
      <c r="E31" t="s">
        <v>23</v>
      </c>
      <c r="F31" t="s">
        <v>24</v>
      </c>
      <c r="G31" t="s">
        <v>23</v>
      </c>
      <c r="H31" t="s">
        <v>27</v>
      </c>
      <c r="I31" t="s">
        <v>44</v>
      </c>
      <c r="J31" t="s">
        <v>28</v>
      </c>
      <c r="K31">
        <v>2</v>
      </c>
      <c r="L31" t="s">
        <v>26</v>
      </c>
      <c r="M31" t="str">
        <f t="shared" si="1"/>
        <v>ImportStoreCL_STORECL</v>
      </c>
      <c r="N31" t="str">
        <f t="shared" si="2"/>
        <v>ImportMoveSHIPCL</v>
      </c>
      <c r="O31">
        <f t="shared" si="0"/>
        <v>2</v>
      </c>
      <c r="P31" t="str">
        <f t="shared" si="3"/>
        <v>ImportStoreCL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18</v>
      </c>
      <c r="C32" t="s">
        <v>44</v>
      </c>
      <c r="D32" t="s">
        <v>28</v>
      </c>
      <c r="E32" t="s">
        <v>23</v>
      </c>
      <c r="F32" t="s">
        <v>27</v>
      </c>
      <c r="G32" t="s">
        <v>23</v>
      </c>
      <c r="H32" t="s">
        <v>27</v>
      </c>
      <c r="I32" t="s">
        <v>39</v>
      </c>
      <c r="J32" t="s">
        <v>45</v>
      </c>
      <c r="K32">
        <v>3</v>
      </c>
      <c r="L32" t="s">
        <v>26</v>
      </c>
      <c r="M32" t="str">
        <f t="shared" si="1"/>
        <v>ImportMoveSHIPCL</v>
      </c>
      <c r="N32" t="str">
        <f t="shared" si="2"/>
        <v>Port KemblaMoveCL_STORE_ICL</v>
      </c>
      <c r="O32">
        <f t="shared" si="0"/>
        <v>0</v>
      </c>
      <c r="P32" t="str">
        <f t="shared" si="3"/>
        <v>ImportMoveCL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2</v>
      </c>
      <c r="B33" t="s">
        <v>18</v>
      </c>
      <c r="C33" t="s">
        <v>44</v>
      </c>
      <c r="D33" t="s">
        <v>28</v>
      </c>
      <c r="E33" t="s">
        <v>23</v>
      </c>
      <c r="F33" t="s">
        <v>27</v>
      </c>
      <c r="G33" t="s">
        <v>23</v>
      </c>
      <c r="H33" t="s">
        <v>27</v>
      </c>
      <c r="I33" t="s">
        <v>31</v>
      </c>
      <c r="J33" t="s">
        <v>45</v>
      </c>
      <c r="K33">
        <v>3</v>
      </c>
      <c r="L33" t="s">
        <v>26</v>
      </c>
      <c r="M33" t="str">
        <f t="shared" si="1"/>
        <v>ImportMoveSHIPCL</v>
      </c>
      <c r="N33" t="str">
        <f t="shared" si="2"/>
        <v>Bulwer IslandMoveCL_STORE_ICL</v>
      </c>
      <c r="O33">
        <f t="shared" si="0"/>
        <v>0</v>
      </c>
      <c r="P33" t="str">
        <f t="shared" si="3"/>
        <v>ImportMoveCL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1</v>
      </c>
      <c r="B34" t="s">
        <v>18</v>
      </c>
      <c r="C34" t="s">
        <v>31</v>
      </c>
      <c r="D34" t="s">
        <v>33</v>
      </c>
      <c r="E34" t="s">
        <v>23</v>
      </c>
      <c r="F34" t="s">
        <v>22</v>
      </c>
      <c r="G34" t="s">
        <v>18</v>
      </c>
      <c r="H34" t="s">
        <v>24</v>
      </c>
      <c r="I34" t="s">
        <v>31</v>
      </c>
      <c r="J34" t="s">
        <v>32</v>
      </c>
      <c r="K34">
        <v>1</v>
      </c>
      <c r="L34" t="s">
        <v>26</v>
      </c>
      <c r="M34" t="str">
        <f t="shared" si="1"/>
        <v>Bulwer IslandMakeCM3CL</v>
      </c>
      <c r="N34" t="str">
        <f t="shared" si="2"/>
        <v>Bulwer IslandStoreGP_STOREGP</v>
      </c>
      <c r="O34">
        <f t="shared" si="0"/>
        <v>1</v>
      </c>
      <c r="P34" t="str">
        <f t="shared" si="3"/>
        <v>Bulwer IslandMakeGP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1</v>
      </c>
      <c r="B35" t="s">
        <v>18</v>
      </c>
      <c r="C35" t="s">
        <v>31</v>
      </c>
      <c r="D35" t="s">
        <v>34</v>
      </c>
      <c r="E35" t="s">
        <v>23</v>
      </c>
      <c r="F35" t="s">
        <v>22</v>
      </c>
      <c r="G35" t="s">
        <v>18</v>
      </c>
      <c r="H35" t="s">
        <v>24</v>
      </c>
      <c r="I35" t="s">
        <v>31</v>
      </c>
      <c r="J35" t="s">
        <v>32</v>
      </c>
      <c r="K35">
        <v>1</v>
      </c>
      <c r="L35" t="s">
        <v>26</v>
      </c>
      <c r="M35" t="str">
        <f t="shared" si="1"/>
        <v>Bulwer IslandMakeCM4CL</v>
      </c>
      <c r="N35" t="str">
        <f t="shared" si="2"/>
        <v>Bulwer IslandStoreGP_STOREGP</v>
      </c>
      <c r="O35">
        <f t="shared" si="0"/>
        <v>1</v>
      </c>
      <c r="P35" t="str">
        <f t="shared" si="3"/>
        <v>Bulwer IslandMakeGP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2</v>
      </c>
      <c r="B36" t="s">
        <v>18</v>
      </c>
      <c r="C36" t="s">
        <v>31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31</v>
      </c>
      <c r="J36" t="s">
        <v>33</v>
      </c>
      <c r="K36">
        <v>2</v>
      </c>
      <c r="M36" t="str">
        <f t="shared" si="1"/>
        <v>Bulwer IslandStoreCL_STORECL</v>
      </c>
      <c r="N36" t="str">
        <f t="shared" si="2"/>
        <v>Bulwer IslandMakeCM3CL</v>
      </c>
      <c r="O36">
        <f t="shared" si="0"/>
        <v>1</v>
      </c>
      <c r="P36" t="str">
        <f t="shared" si="3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2</v>
      </c>
      <c r="B37" t="s">
        <v>18</v>
      </c>
      <c r="C37" t="s">
        <v>31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31</v>
      </c>
      <c r="J37" t="s">
        <v>34</v>
      </c>
      <c r="K37">
        <v>2</v>
      </c>
      <c r="M37" t="str">
        <f t="shared" si="1"/>
        <v>Bulwer IslandStoreCL_STORECL</v>
      </c>
      <c r="N37" t="str">
        <f t="shared" si="2"/>
        <v>Bulwer IslandMakeCM4CL</v>
      </c>
      <c r="O37">
        <f t="shared" si="0"/>
        <v>1</v>
      </c>
      <c r="P37" t="str">
        <f t="shared" si="3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3</v>
      </c>
      <c r="B38" t="s">
        <v>18</v>
      </c>
      <c r="C38" t="s">
        <v>31</v>
      </c>
      <c r="D38" t="s">
        <v>32</v>
      </c>
      <c r="E38" t="s">
        <v>18</v>
      </c>
      <c r="F38" t="s">
        <v>24</v>
      </c>
      <c r="G38" t="s">
        <v>18</v>
      </c>
      <c r="H38" t="s">
        <v>35</v>
      </c>
      <c r="I38" t="s">
        <v>31</v>
      </c>
      <c r="J38" t="s">
        <v>36</v>
      </c>
      <c r="K38">
        <v>2</v>
      </c>
      <c r="M38" t="str">
        <f t="shared" si="1"/>
        <v>Bulwer IslandStoreGP_STOREGP</v>
      </c>
      <c r="N38" t="str">
        <f t="shared" si="2"/>
        <v>Bulwer IslandDeliverTRUCKGP</v>
      </c>
      <c r="O38">
        <f t="shared" si="0"/>
        <v>1</v>
      </c>
      <c r="P38" t="str">
        <f t="shared" si="3"/>
        <v>Bulwer IslandStoreGP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2</v>
      </c>
      <c r="B39" t="s">
        <v>18</v>
      </c>
      <c r="C39" t="s">
        <v>31</v>
      </c>
      <c r="D39" t="s">
        <v>45</v>
      </c>
      <c r="E39" t="s">
        <v>23</v>
      </c>
      <c r="F39" t="s">
        <v>24</v>
      </c>
      <c r="G39" t="s">
        <v>23</v>
      </c>
      <c r="H39" t="s">
        <v>22</v>
      </c>
      <c r="I39" t="s">
        <v>31</v>
      </c>
      <c r="J39" t="s">
        <v>33</v>
      </c>
      <c r="K39">
        <v>2</v>
      </c>
      <c r="M39" t="str">
        <f t="shared" si="1"/>
        <v>Bulwer IslandStoreCL_STORE_ICL</v>
      </c>
      <c r="N39" t="str">
        <f t="shared" si="2"/>
        <v>Bulwer IslandMakeCM3CL</v>
      </c>
      <c r="O39">
        <f t="shared" si="0"/>
        <v>1</v>
      </c>
      <c r="P39" t="str">
        <f t="shared" si="3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18</v>
      </c>
      <c r="C40" t="s">
        <v>31</v>
      </c>
      <c r="D40" t="s">
        <v>45</v>
      </c>
      <c r="E40" t="s">
        <v>23</v>
      </c>
      <c r="F40" t="s">
        <v>24</v>
      </c>
      <c r="G40" t="s">
        <v>23</v>
      </c>
      <c r="H40" t="s">
        <v>22</v>
      </c>
      <c r="I40" t="s">
        <v>31</v>
      </c>
      <c r="J40" t="s">
        <v>34</v>
      </c>
      <c r="K40">
        <v>2</v>
      </c>
      <c r="M40" t="str">
        <f t="shared" si="1"/>
        <v>Bulwer IslandStoreCL_STORE_ICL</v>
      </c>
      <c r="N40" t="str">
        <f t="shared" si="2"/>
        <v>Bulwer IslandMakeCM4CL</v>
      </c>
      <c r="O40">
        <f t="shared" si="0"/>
        <v>1</v>
      </c>
      <c r="P40" t="str">
        <f t="shared" si="3"/>
        <v>Bulwer IslandStoreCL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4</v>
      </c>
      <c r="B41" t="s">
        <v>18</v>
      </c>
      <c r="C41" t="s">
        <v>31</v>
      </c>
      <c r="D41" t="s">
        <v>36</v>
      </c>
      <c r="E41" t="s">
        <v>18</v>
      </c>
      <c r="F41" t="s">
        <v>35</v>
      </c>
      <c r="G41" t="s">
        <v>18</v>
      </c>
      <c r="H41" t="s">
        <v>21</v>
      </c>
      <c r="K41">
        <v>4</v>
      </c>
      <c r="L41" t="s">
        <v>26</v>
      </c>
      <c r="M41" t="str">
        <f t="shared" si="1"/>
        <v>Bulwer IslandDeliverTRUCKGP</v>
      </c>
      <c r="N41" t="str">
        <f t="shared" si="2"/>
        <v>NoneGP</v>
      </c>
      <c r="O41">
        <f t="shared" si="0"/>
        <v>0</v>
      </c>
      <c r="P41" t="str">
        <f t="shared" si="3"/>
        <v>Bulwer IslandDeliverGP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1</v>
      </c>
      <c r="B42" t="s">
        <v>18</v>
      </c>
      <c r="C42" t="s">
        <v>39</v>
      </c>
      <c r="D42" t="s">
        <v>46</v>
      </c>
      <c r="E42" t="s">
        <v>23</v>
      </c>
      <c r="F42" t="s">
        <v>22</v>
      </c>
      <c r="G42" t="s">
        <v>18</v>
      </c>
      <c r="H42" t="s">
        <v>24</v>
      </c>
      <c r="I42" t="s">
        <v>39</v>
      </c>
      <c r="J42" t="s">
        <v>32</v>
      </c>
      <c r="K42">
        <v>1</v>
      </c>
      <c r="L42" t="s">
        <v>26</v>
      </c>
      <c r="M42" t="str">
        <f t="shared" si="1"/>
        <v>Port KemblaMakeCM9CL</v>
      </c>
      <c r="N42" t="str">
        <f t="shared" si="2"/>
        <v>Port KemblaStoreGP_STOREGP</v>
      </c>
      <c r="O42">
        <f t="shared" si="0"/>
        <v>2</v>
      </c>
      <c r="P42" t="str">
        <f t="shared" si="3"/>
        <v>Port KemblaMakeGP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1</v>
      </c>
      <c r="B43" t="s">
        <v>18</v>
      </c>
      <c r="C43" t="s">
        <v>39</v>
      </c>
      <c r="D43" t="s">
        <v>47</v>
      </c>
      <c r="E43" t="s">
        <v>23</v>
      </c>
      <c r="F43" t="s">
        <v>22</v>
      </c>
      <c r="G43" t="s">
        <v>18</v>
      </c>
      <c r="H43" t="s">
        <v>24</v>
      </c>
      <c r="I43" t="s">
        <v>39</v>
      </c>
      <c r="J43" t="s">
        <v>32</v>
      </c>
      <c r="K43">
        <v>1</v>
      </c>
      <c r="L43" t="s">
        <v>26</v>
      </c>
      <c r="M43" t="str">
        <f t="shared" si="1"/>
        <v>Port KemblaMakeCM10CL</v>
      </c>
      <c r="N43" t="str">
        <f t="shared" si="2"/>
        <v>Port KemblaStoreGP_STOREGP</v>
      </c>
      <c r="O43">
        <f t="shared" si="0"/>
        <v>2</v>
      </c>
      <c r="P43" t="str">
        <f t="shared" si="3"/>
        <v>Port KemblaMakeGP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2</v>
      </c>
      <c r="B44" t="s">
        <v>18</v>
      </c>
      <c r="C44" t="s">
        <v>39</v>
      </c>
      <c r="D44" t="s">
        <v>32</v>
      </c>
      <c r="E44" t="s">
        <v>18</v>
      </c>
      <c r="F44" t="s">
        <v>24</v>
      </c>
      <c r="G44" t="s">
        <v>18</v>
      </c>
      <c r="H44" t="s">
        <v>27</v>
      </c>
      <c r="I44" t="s">
        <v>39</v>
      </c>
      <c r="J44" t="s">
        <v>37</v>
      </c>
      <c r="K44">
        <v>2</v>
      </c>
      <c r="L44" t="s">
        <v>26</v>
      </c>
      <c r="M44" t="str">
        <f t="shared" si="1"/>
        <v>Port KemblaStoreGP_STOREGP</v>
      </c>
      <c r="N44" t="str">
        <f t="shared" si="2"/>
        <v>Port KemblaMoveTRAINGP</v>
      </c>
      <c r="O44">
        <f t="shared" si="0"/>
        <v>2</v>
      </c>
      <c r="P44" t="str">
        <f t="shared" si="3"/>
        <v>Port KemblaStoreGP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3</v>
      </c>
      <c r="B45" t="s">
        <v>18</v>
      </c>
      <c r="C45" t="s">
        <v>39</v>
      </c>
      <c r="D45" t="s">
        <v>45</v>
      </c>
      <c r="E45" t="s">
        <v>23</v>
      </c>
      <c r="F45" t="s">
        <v>24</v>
      </c>
      <c r="G45" t="s">
        <v>23</v>
      </c>
      <c r="H45" t="s">
        <v>22</v>
      </c>
      <c r="I45" t="s">
        <v>39</v>
      </c>
      <c r="J45" t="s">
        <v>46</v>
      </c>
      <c r="K45">
        <v>2</v>
      </c>
      <c r="L45" t="s">
        <v>26</v>
      </c>
      <c r="M45" t="str">
        <f t="shared" si="1"/>
        <v>Port KemblaStoreCL_STORE_ICL</v>
      </c>
      <c r="N45" t="str">
        <f t="shared" si="2"/>
        <v>Port KemblaMakeCM9CL</v>
      </c>
      <c r="O45">
        <f t="shared" si="0"/>
        <v>1</v>
      </c>
      <c r="P45" t="str">
        <f t="shared" si="3"/>
        <v>Port KemblaStoreCL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18</v>
      </c>
      <c r="C46" t="s">
        <v>39</v>
      </c>
      <c r="D46" t="s">
        <v>45</v>
      </c>
      <c r="E46" t="s">
        <v>23</v>
      </c>
      <c r="F46" t="s">
        <v>24</v>
      </c>
      <c r="G46" t="s">
        <v>23</v>
      </c>
      <c r="H46" t="s">
        <v>22</v>
      </c>
      <c r="I46" t="s">
        <v>39</v>
      </c>
      <c r="J46" t="s">
        <v>47</v>
      </c>
      <c r="K46">
        <v>2</v>
      </c>
      <c r="L46" t="s">
        <v>26</v>
      </c>
      <c r="M46" t="str">
        <f t="shared" si="1"/>
        <v>Port KemblaStoreCL_STORE_ICL</v>
      </c>
      <c r="N46" t="str">
        <f t="shared" si="2"/>
        <v>Port KemblaMakeCM10CL</v>
      </c>
      <c r="O46">
        <f t="shared" si="0"/>
        <v>1</v>
      </c>
      <c r="P46" t="str">
        <f t="shared" si="3"/>
        <v>Port KemblaStoreCL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2</v>
      </c>
      <c r="B47" t="s">
        <v>18</v>
      </c>
      <c r="C47" t="s">
        <v>39</v>
      </c>
      <c r="D47" t="s">
        <v>32</v>
      </c>
      <c r="E47" t="s">
        <v>18</v>
      </c>
      <c r="F47" t="s">
        <v>24</v>
      </c>
      <c r="G47" t="s">
        <v>18</v>
      </c>
      <c r="H47" t="s">
        <v>35</v>
      </c>
      <c r="I47" t="s">
        <v>39</v>
      </c>
      <c r="J47" t="s">
        <v>36</v>
      </c>
      <c r="K47">
        <v>2</v>
      </c>
      <c r="L47" t="s">
        <v>26</v>
      </c>
      <c r="M47" t="str">
        <f t="shared" si="1"/>
        <v>Port KemblaStoreGP_STOREGP</v>
      </c>
      <c r="N47" t="str">
        <f t="shared" si="2"/>
        <v>Port KemblaDeliverTRUCKGP</v>
      </c>
      <c r="O47">
        <f t="shared" si="0"/>
        <v>1</v>
      </c>
      <c r="P47" t="str">
        <f t="shared" si="3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18</v>
      </c>
      <c r="C48" t="s">
        <v>39</v>
      </c>
      <c r="D48" t="s">
        <v>37</v>
      </c>
      <c r="E48" t="s">
        <v>18</v>
      </c>
      <c r="F48" t="s">
        <v>27</v>
      </c>
      <c r="G48" t="s">
        <v>18</v>
      </c>
      <c r="H48" t="s">
        <v>24</v>
      </c>
      <c r="I48" t="s">
        <v>42</v>
      </c>
      <c r="J48" t="s">
        <v>32</v>
      </c>
      <c r="K48">
        <v>3</v>
      </c>
      <c r="M48" t="str">
        <f t="shared" si="1"/>
        <v>Port KemblaMoveTRAINGP</v>
      </c>
      <c r="N48" t="str">
        <f t="shared" si="2"/>
        <v>AlburyStoreGP_STOREGP</v>
      </c>
      <c r="O48">
        <f t="shared" si="0"/>
        <v>1</v>
      </c>
      <c r="P48" t="str">
        <f t="shared" si="3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18</v>
      </c>
      <c r="C49" t="s">
        <v>39</v>
      </c>
      <c r="D49" t="s">
        <v>37</v>
      </c>
      <c r="E49" t="s">
        <v>18</v>
      </c>
      <c r="F49" t="s">
        <v>27</v>
      </c>
      <c r="G49" t="s">
        <v>18</v>
      </c>
      <c r="H49" t="s">
        <v>24</v>
      </c>
      <c r="I49" t="s">
        <v>43</v>
      </c>
      <c r="J49" t="s">
        <v>32</v>
      </c>
      <c r="K49">
        <v>3</v>
      </c>
      <c r="M49" t="str">
        <f t="shared" si="1"/>
        <v>Port KemblaMoveTRAINGP</v>
      </c>
      <c r="N49" t="str">
        <f t="shared" si="2"/>
        <v>WaggaStoreGP_STOREGP</v>
      </c>
      <c r="O49">
        <f t="shared" si="0"/>
        <v>1</v>
      </c>
      <c r="P49" t="str">
        <f t="shared" si="3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5</v>
      </c>
      <c r="B50" t="s">
        <v>18</v>
      </c>
      <c r="C50" t="s">
        <v>39</v>
      </c>
      <c r="D50" t="s">
        <v>36</v>
      </c>
      <c r="E50" t="s">
        <v>18</v>
      </c>
      <c r="F50" t="s">
        <v>35</v>
      </c>
      <c r="G50" t="s">
        <v>18</v>
      </c>
      <c r="H50" t="s">
        <v>21</v>
      </c>
      <c r="K50">
        <v>4</v>
      </c>
      <c r="M50" t="str">
        <f t="shared" si="1"/>
        <v>Port KemblaDeliverTRUCKGP</v>
      </c>
      <c r="N50" t="str">
        <f t="shared" si="2"/>
        <v>NoneGP</v>
      </c>
      <c r="O50">
        <f t="shared" si="0"/>
        <v>0</v>
      </c>
      <c r="P50" t="str">
        <f t="shared" si="3"/>
        <v>Port KemblaDeliverGP</v>
      </c>
    </row>
    <row r="51" spans="1:16" x14ac:dyDescent="0.25">
      <c r="A51" cm="1">
        <f t="array" ref="A51">IF(ISNA(_xlfn.XLOOKUP(P51,$P$2:P50,$A$2:A50)),IF(COUNTIFS($P$2:P51,P51)=1,IF(COUNTIFS($C$2:C50,C51)=0,1,_xlfn.MAXIFS($A$2:A50,$C$2:C50,C51)+1),A50),_xlfn.XLOOKUP(P51,$P$2:P50,$A$2:A50))</f>
        <v>1</v>
      </c>
      <c r="B51" t="s">
        <v>18</v>
      </c>
      <c r="C51" t="s">
        <v>40</v>
      </c>
      <c r="D51" t="s">
        <v>32</v>
      </c>
      <c r="E51" t="s">
        <v>18</v>
      </c>
      <c r="F51" t="s">
        <v>24</v>
      </c>
      <c r="G51" t="s">
        <v>18</v>
      </c>
      <c r="H51" t="s">
        <v>35</v>
      </c>
      <c r="I51" t="s">
        <v>40</v>
      </c>
      <c r="J51" t="s">
        <v>36</v>
      </c>
      <c r="K51">
        <v>2</v>
      </c>
      <c r="M51" t="str">
        <f t="shared" si="1"/>
        <v>NewcastleStoreGP_STOREGP</v>
      </c>
      <c r="N51" t="str">
        <f t="shared" si="2"/>
        <v>NewcastleDeliverTRUCKGP</v>
      </c>
      <c r="O51">
        <f t="shared" si="0"/>
        <v>2</v>
      </c>
      <c r="P51" t="str">
        <f t="shared" si="3"/>
        <v>NewcastleStoreGP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18</v>
      </c>
      <c r="C52" t="s">
        <v>40</v>
      </c>
      <c r="D52" t="s">
        <v>32</v>
      </c>
      <c r="E52" t="s">
        <v>18</v>
      </c>
      <c r="F52" t="s">
        <v>24</v>
      </c>
      <c r="G52" t="s">
        <v>18</v>
      </c>
      <c r="H52" t="s">
        <v>35</v>
      </c>
      <c r="I52" t="s">
        <v>40</v>
      </c>
      <c r="J52" t="s">
        <v>36</v>
      </c>
      <c r="K52">
        <v>2</v>
      </c>
      <c r="M52" t="str">
        <f t="shared" si="1"/>
        <v>NewcastleStoreGP_STOREGP</v>
      </c>
      <c r="N52" t="str">
        <f t="shared" si="2"/>
        <v>NewcastleDeliverTRUCKGP</v>
      </c>
      <c r="O52">
        <f t="shared" si="0"/>
        <v>2</v>
      </c>
      <c r="P52" t="str">
        <f t="shared" si="3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18</v>
      </c>
      <c r="C53" t="s">
        <v>40</v>
      </c>
      <c r="D53" t="s">
        <v>36</v>
      </c>
      <c r="E53" t="s">
        <v>18</v>
      </c>
      <c r="F53" t="s">
        <v>35</v>
      </c>
      <c r="G53" t="s">
        <v>18</v>
      </c>
      <c r="H53" t="s">
        <v>21</v>
      </c>
      <c r="K53">
        <v>4</v>
      </c>
      <c r="M53" t="str">
        <f t="shared" si="1"/>
        <v>NewcastleDeliverTRUCKGP</v>
      </c>
      <c r="N53" t="str">
        <f t="shared" si="2"/>
        <v>NoneGP</v>
      </c>
      <c r="O53">
        <f t="shared" si="0"/>
        <v>0</v>
      </c>
      <c r="P53" t="str">
        <f t="shared" si="3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2</v>
      </c>
      <c r="B54" t="s">
        <v>18</v>
      </c>
      <c r="C54" t="s">
        <v>40</v>
      </c>
      <c r="D54" t="s">
        <v>36</v>
      </c>
      <c r="E54" t="s">
        <v>18</v>
      </c>
      <c r="F54" t="s">
        <v>35</v>
      </c>
      <c r="G54" t="s">
        <v>18</v>
      </c>
      <c r="H54" t="s">
        <v>21</v>
      </c>
      <c r="K54">
        <v>4</v>
      </c>
      <c r="M54" t="str">
        <f t="shared" si="1"/>
        <v>NewcastleDeliverTRUCKGP</v>
      </c>
      <c r="N54" t="str">
        <f t="shared" si="2"/>
        <v>NoneGP</v>
      </c>
      <c r="O54">
        <f t="shared" si="0"/>
        <v>0</v>
      </c>
      <c r="P54" t="str">
        <f t="shared" si="3"/>
        <v>NewcastleDeliverGP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1</v>
      </c>
      <c r="B55" t="s">
        <v>18</v>
      </c>
      <c r="C55" t="s">
        <v>51</v>
      </c>
      <c r="D55" t="s">
        <v>32</v>
      </c>
      <c r="E55" t="s">
        <v>18</v>
      </c>
      <c r="F55" t="s">
        <v>24</v>
      </c>
      <c r="G55" t="s">
        <v>18</v>
      </c>
      <c r="H55" t="s">
        <v>35</v>
      </c>
      <c r="I55" t="s">
        <v>51</v>
      </c>
      <c r="J55" t="s">
        <v>36</v>
      </c>
      <c r="K55">
        <v>2</v>
      </c>
      <c r="M55" t="str">
        <f t="shared" si="1"/>
        <v>MelbourneStoreGP_STOREGP</v>
      </c>
      <c r="N55" t="str">
        <f t="shared" si="2"/>
        <v>MelbourneDeliverTRUCKGP</v>
      </c>
      <c r="O55">
        <f t="shared" si="0"/>
        <v>1</v>
      </c>
      <c r="P55" t="str">
        <f t="shared" si="3"/>
        <v>MelbourneStoreGP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2</v>
      </c>
      <c r="B56" t="s">
        <v>18</v>
      </c>
      <c r="C56" t="s">
        <v>51</v>
      </c>
      <c r="D56" t="s">
        <v>36</v>
      </c>
      <c r="E56" t="s">
        <v>18</v>
      </c>
      <c r="F56" t="s">
        <v>35</v>
      </c>
      <c r="G56" t="s">
        <v>18</v>
      </c>
      <c r="H56" t="s">
        <v>21</v>
      </c>
      <c r="K56">
        <v>4</v>
      </c>
      <c r="M56" t="str">
        <f t="shared" si="1"/>
        <v>MelbourneDeliverTRUCKGP</v>
      </c>
      <c r="N56" t="str">
        <f t="shared" si="2"/>
        <v>NoneGP</v>
      </c>
      <c r="O56">
        <f t="shared" si="0"/>
        <v>0</v>
      </c>
      <c r="P56" t="str">
        <f t="shared" si="3"/>
        <v>MelbourneDeliverGP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1</v>
      </c>
      <c r="B57" t="s">
        <v>18</v>
      </c>
      <c r="C57" t="s">
        <v>52</v>
      </c>
      <c r="D57" t="s">
        <v>32</v>
      </c>
      <c r="E57" t="s">
        <v>18</v>
      </c>
      <c r="F57" t="s">
        <v>24</v>
      </c>
      <c r="G57" t="s">
        <v>18</v>
      </c>
      <c r="H57" t="s">
        <v>35</v>
      </c>
      <c r="I57" t="s">
        <v>52</v>
      </c>
      <c r="J57" t="s">
        <v>36</v>
      </c>
      <c r="K57">
        <v>2</v>
      </c>
      <c r="M57" t="str">
        <f t="shared" si="1"/>
        <v>OsbornStoreGP_STOREGP</v>
      </c>
      <c r="N57" t="str">
        <f t="shared" si="2"/>
        <v>OsbornDeliverTRUCKGP</v>
      </c>
      <c r="O57">
        <f t="shared" si="0"/>
        <v>1</v>
      </c>
      <c r="P57" t="str">
        <f t="shared" si="3"/>
        <v>OsbornStoreGP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2</v>
      </c>
      <c r="B58" t="s">
        <v>18</v>
      </c>
      <c r="C58" t="s">
        <v>52</v>
      </c>
      <c r="D58" t="s">
        <v>36</v>
      </c>
      <c r="E58" t="s">
        <v>18</v>
      </c>
      <c r="F58" t="s">
        <v>35</v>
      </c>
      <c r="G58" t="s">
        <v>18</v>
      </c>
      <c r="H58" t="s">
        <v>21</v>
      </c>
      <c r="K58">
        <v>4</v>
      </c>
      <c r="M58" t="str">
        <f t="shared" si="1"/>
        <v>OsbornDeliverTRUCKGP</v>
      </c>
      <c r="N58" t="str">
        <f t="shared" si="2"/>
        <v>NoneGP</v>
      </c>
      <c r="O58">
        <f t="shared" si="0"/>
        <v>0</v>
      </c>
      <c r="P58" t="str">
        <f t="shared" si="3"/>
        <v>OsbornDeliverGP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1</v>
      </c>
      <c r="B59" t="s">
        <v>18</v>
      </c>
      <c r="C59" t="s">
        <v>38</v>
      </c>
      <c r="D59" t="s">
        <v>32</v>
      </c>
      <c r="E59" t="s">
        <v>18</v>
      </c>
      <c r="F59" t="s">
        <v>24</v>
      </c>
      <c r="G59" t="s">
        <v>18</v>
      </c>
      <c r="H59" t="s">
        <v>35</v>
      </c>
      <c r="I59" t="s">
        <v>38</v>
      </c>
      <c r="J59" t="s">
        <v>36</v>
      </c>
      <c r="K59">
        <v>2</v>
      </c>
      <c r="M59" t="str">
        <f t="shared" si="1"/>
        <v>TownsvilleStoreGP_STOREGP</v>
      </c>
      <c r="N59" t="str">
        <f t="shared" si="2"/>
        <v>TownsvilleDeliverTRUCKGP</v>
      </c>
      <c r="O59">
        <f t="shared" si="0"/>
        <v>1</v>
      </c>
      <c r="P59" t="str">
        <f t="shared" si="3"/>
        <v>TownsvilleStoreGP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2</v>
      </c>
      <c r="B60" t="s">
        <v>18</v>
      </c>
      <c r="C60" t="s">
        <v>38</v>
      </c>
      <c r="D60" t="s">
        <v>36</v>
      </c>
      <c r="E60" t="s">
        <v>18</v>
      </c>
      <c r="F60" t="s">
        <v>35</v>
      </c>
      <c r="G60" t="s">
        <v>18</v>
      </c>
      <c r="H60" t="s">
        <v>21</v>
      </c>
      <c r="K60">
        <v>4</v>
      </c>
      <c r="M60" t="str">
        <f t="shared" si="1"/>
        <v>TownsvilleDeliverTRUCKGP</v>
      </c>
      <c r="N60" t="str">
        <f t="shared" si="2"/>
        <v>NoneGP</v>
      </c>
      <c r="O60">
        <f t="shared" si="0"/>
        <v>0</v>
      </c>
      <c r="P60" t="str">
        <f t="shared" si="3"/>
        <v>TownsvilleDeliverGP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1</v>
      </c>
      <c r="B61" t="s">
        <v>18</v>
      </c>
      <c r="C61" t="s">
        <v>41</v>
      </c>
      <c r="D61" t="s">
        <v>32</v>
      </c>
      <c r="E61" t="s">
        <v>18</v>
      </c>
      <c r="F61" t="s">
        <v>24</v>
      </c>
      <c r="G61" t="s">
        <v>18</v>
      </c>
      <c r="H61" t="s">
        <v>35</v>
      </c>
      <c r="I61" t="s">
        <v>41</v>
      </c>
      <c r="J61" t="s">
        <v>36</v>
      </c>
      <c r="K61">
        <v>2</v>
      </c>
      <c r="M61" t="str">
        <f t="shared" si="1"/>
        <v>MackayStoreGP_STOREGP</v>
      </c>
      <c r="N61" t="str">
        <f t="shared" si="2"/>
        <v>MackayDeliverTRUCKGP</v>
      </c>
      <c r="O61">
        <f t="shared" si="0"/>
        <v>1</v>
      </c>
      <c r="P61" t="str">
        <f t="shared" si="3"/>
        <v>MackayStoreGP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2</v>
      </c>
      <c r="B62" t="s">
        <v>18</v>
      </c>
      <c r="C62" t="s">
        <v>41</v>
      </c>
      <c r="D62" t="s">
        <v>36</v>
      </c>
      <c r="E62" t="s">
        <v>18</v>
      </c>
      <c r="F62" t="s">
        <v>35</v>
      </c>
      <c r="G62" t="s">
        <v>18</v>
      </c>
      <c r="H62" t="s">
        <v>21</v>
      </c>
      <c r="K62">
        <v>4</v>
      </c>
      <c r="M62" t="str">
        <f t="shared" si="1"/>
        <v>MackayDeliverTRUCKGP</v>
      </c>
      <c r="N62" t="str">
        <f t="shared" si="2"/>
        <v>NoneGP</v>
      </c>
      <c r="O62">
        <f t="shared" si="0"/>
        <v>0</v>
      </c>
      <c r="P62" t="str">
        <f t="shared" si="3"/>
        <v>MackayDeliverGP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1</v>
      </c>
      <c r="B63" t="s">
        <v>18</v>
      </c>
      <c r="C63" t="s">
        <v>43</v>
      </c>
      <c r="D63" t="s">
        <v>32</v>
      </c>
      <c r="E63" t="s">
        <v>18</v>
      </c>
      <c r="F63" t="s">
        <v>24</v>
      </c>
      <c r="G63" t="s">
        <v>18</v>
      </c>
      <c r="H63" t="s">
        <v>35</v>
      </c>
      <c r="I63" t="s">
        <v>43</v>
      </c>
      <c r="J63" t="s">
        <v>36</v>
      </c>
      <c r="K63">
        <v>2</v>
      </c>
      <c r="M63" t="str">
        <f t="shared" si="1"/>
        <v>WaggaStoreGP_STOREGP</v>
      </c>
      <c r="N63" t="str">
        <f t="shared" si="2"/>
        <v>WaggaDeliverTRUCKGP</v>
      </c>
      <c r="O63">
        <f t="shared" si="0"/>
        <v>1</v>
      </c>
      <c r="P63" t="str">
        <f t="shared" si="3"/>
        <v>WaggaStoreGP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2</v>
      </c>
      <c r="B64" t="s">
        <v>18</v>
      </c>
      <c r="C64" t="s">
        <v>43</v>
      </c>
      <c r="D64" t="s">
        <v>36</v>
      </c>
      <c r="E64" t="s">
        <v>18</v>
      </c>
      <c r="F64" t="s">
        <v>35</v>
      </c>
      <c r="G64" t="s">
        <v>18</v>
      </c>
      <c r="H64" t="s">
        <v>21</v>
      </c>
      <c r="K64">
        <v>4</v>
      </c>
      <c r="M64" t="str">
        <f t="shared" si="1"/>
        <v>WaggaDeliverTRUCKGP</v>
      </c>
      <c r="N64" t="str">
        <f t="shared" si="2"/>
        <v>NoneGP</v>
      </c>
      <c r="O64">
        <f t="shared" si="0"/>
        <v>0</v>
      </c>
      <c r="P64" t="str">
        <f t="shared" si="3"/>
        <v>WaggaDeliverGP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1</v>
      </c>
      <c r="B65" t="s">
        <v>18</v>
      </c>
      <c r="C65" t="s">
        <v>42</v>
      </c>
      <c r="D65" t="s">
        <v>32</v>
      </c>
      <c r="E65" t="s">
        <v>18</v>
      </c>
      <c r="F65" t="s">
        <v>24</v>
      </c>
      <c r="G65" t="s">
        <v>18</v>
      </c>
      <c r="H65" t="s">
        <v>35</v>
      </c>
      <c r="I65" t="s">
        <v>42</v>
      </c>
      <c r="J65" t="s">
        <v>36</v>
      </c>
      <c r="K65">
        <v>2</v>
      </c>
      <c r="M65" t="str">
        <f t="shared" si="1"/>
        <v>AlburyStoreGP_STOREGP</v>
      </c>
      <c r="N65" t="str">
        <f t="shared" si="2"/>
        <v>AlburyDeliverTRUCKGP</v>
      </c>
      <c r="O65">
        <f t="shared" si="0"/>
        <v>1</v>
      </c>
      <c r="P65" t="str">
        <f t="shared" si="3"/>
        <v>AlburyStoreGP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2</v>
      </c>
      <c r="B66" t="s">
        <v>18</v>
      </c>
      <c r="C66" t="s">
        <v>42</v>
      </c>
      <c r="D66" t="s">
        <v>36</v>
      </c>
      <c r="E66" t="s">
        <v>18</v>
      </c>
      <c r="F66" t="s">
        <v>35</v>
      </c>
      <c r="G66" t="s">
        <v>18</v>
      </c>
      <c r="H66" t="s">
        <v>21</v>
      </c>
      <c r="K66">
        <v>4</v>
      </c>
      <c r="M66" t="str">
        <f t="shared" si="1"/>
        <v>AlburyDeliverTRUCKGP</v>
      </c>
      <c r="N66" t="str">
        <f t="shared" si="2"/>
        <v>NoneGP</v>
      </c>
      <c r="O66">
        <f t="shared" si="0"/>
        <v>0</v>
      </c>
      <c r="P66" t="str">
        <f t="shared" si="3"/>
        <v>AlburyDeliverGP</v>
      </c>
    </row>
    <row r="67" spans="1:16" x14ac:dyDescent="0.25">
      <c r="B67" t="s">
        <v>18</v>
      </c>
      <c r="C67" t="s">
        <v>42</v>
      </c>
      <c r="D67" t="s">
        <v>32</v>
      </c>
      <c r="E67" t="s">
        <v>18</v>
      </c>
      <c r="F67" t="s">
        <v>24</v>
      </c>
      <c r="G67" t="s">
        <v>18</v>
      </c>
      <c r="H67" t="s">
        <v>35</v>
      </c>
      <c r="I67" t="s">
        <v>42</v>
      </c>
      <c r="J67" t="s">
        <v>36</v>
      </c>
      <c r="K67">
        <v>2</v>
      </c>
    </row>
    <row r="68" spans="1:16" x14ac:dyDescent="0.25">
      <c r="B68" t="s">
        <v>18</v>
      </c>
      <c r="C68" t="s">
        <v>42</v>
      </c>
      <c r="D68" t="s">
        <v>36</v>
      </c>
      <c r="E68" t="s">
        <v>18</v>
      </c>
      <c r="F68" t="s">
        <v>35</v>
      </c>
      <c r="G68" t="s">
        <v>18</v>
      </c>
      <c r="H68" t="s">
        <v>21</v>
      </c>
      <c r="K68">
        <v>4</v>
      </c>
    </row>
  </sheetData>
  <autoFilter ref="B1:K67" xr:uid="{00000000-0001-0000-0100-000000000000}"/>
  <sortState xmlns:xlrd2="http://schemas.microsoft.com/office/spreadsheetml/2017/richdata2" ref="B2:K67">
    <sortCondition ref="C2:C67"/>
    <sortCondition ref="K2:K67"/>
  </sortState>
  <conditionalFormatting sqref="M1:N104857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6" sqref="C6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39.85546875" bestFit="1" customWidth="1"/>
    <col min="7" max="7" width="22.5703125" bestFit="1" customWidth="1"/>
  </cols>
  <sheetData>
    <row r="1" spans="1:7" x14ac:dyDescent="0.25">
      <c r="A1" s="1" t="s">
        <v>8</v>
      </c>
      <c r="B1" s="1" t="s">
        <v>9</v>
      </c>
      <c r="C1" s="1" t="s">
        <v>10</v>
      </c>
      <c r="D1" s="1" t="s">
        <v>53</v>
      </c>
      <c r="E1" s="1" t="s">
        <v>54</v>
      </c>
      <c r="F1" s="1" t="s">
        <v>55</v>
      </c>
      <c r="G1" s="1" t="s">
        <v>56</v>
      </c>
    </row>
    <row r="2" spans="1:7" x14ac:dyDescent="0.25">
      <c r="A2" t="s">
        <v>31</v>
      </c>
      <c r="B2" t="s">
        <v>33</v>
      </c>
      <c r="C2" t="s">
        <v>23</v>
      </c>
      <c r="D2">
        <v>0</v>
      </c>
      <c r="E2">
        <v>0</v>
      </c>
      <c r="G2">
        <v>0</v>
      </c>
    </row>
    <row r="3" spans="1:7" x14ac:dyDescent="0.25">
      <c r="A3" t="s">
        <v>31</v>
      </c>
      <c r="B3" t="s">
        <v>34</v>
      </c>
      <c r="C3" t="s">
        <v>23</v>
      </c>
      <c r="D3">
        <v>0</v>
      </c>
      <c r="E3">
        <v>0</v>
      </c>
      <c r="G3">
        <v>0</v>
      </c>
    </row>
    <row r="4" spans="1:7" x14ac:dyDescent="0.25">
      <c r="A4" t="s">
        <v>19</v>
      </c>
      <c r="B4" t="s">
        <v>29</v>
      </c>
      <c r="C4" t="s">
        <v>23</v>
      </c>
      <c r="D4">
        <v>0</v>
      </c>
      <c r="E4">
        <v>0</v>
      </c>
      <c r="G4">
        <v>0</v>
      </c>
    </row>
    <row r="5" spans="1:7" x14ac:dyDescent="0.25">
      <c r="A5" t="s">
        <v>19</v>
      </c>
      <c r="B5" t="s">
        <v>30</v>
      </c>
      <c r="C5" t="s">
        <v>23</v>
      </c>
      <c r="D5">
        <v>0</v>
      </c>
      <c r="E5">
        <v>0</v>
      </c>
      <c r="G5">
        <v>0</v>
      </c>
    </row>
    <row r="6" spans="1:7" x14ac:dyDescent="0.25">
      <c r="A6" t="s">
        <v>19</v>
      </c>
      <c r="B6" t="s">
        <v>20</v>
      </c>
      <c r="D6">
        <v>0</v>
      </c>
      <c r="E6">
        <v>0</v>
      </c>
      <c r="G6">
        <v>0</v>
      </c>
    </row>
    <row r="7" spans="1:7" x14ac:dyDescent="0.25">
      <c r="A7" t="s">
        <v>39</v>
      </c>
      <c r="B7" t="s">
        <v>47</v>
      </c>
      <c r="C7" t="s">
        <v>23</v>
      </c>
      <c r="D7">
        <v>0</v>
      </c>
      <c r="E7">
        <v>0</v>
      </c>
      <c r="G7">
        <v>0</v>
      </c>
    </row>
    <row r="8" spans="1:7" x14ac:dyDescent="0.25">
      <c r="A8" t="s">
        <v>39</v>
      </c>
      <c r="B8" t="s">
        <v>46</v>
      </c>
      <c r="C8" t="s">
        <v>23</v>
      </c>
      <c r="D8">
        <v>0</v>
      </c>
      <c r="E8">
        <v>0</v>
      </c>
      <c r="G8">
        <v>0</v>
      </c>
    </row>
    <row r="9" spans="1:7" x14ac:dyDescent="0.25">
      <c r="A9" t="s">
        <v>48</v>
      </c>
      <c r="B9" t="s">
        <v>33</v>
      </c>
      <c r="C9" t="s">
        <v>23</v>
      </c>
      <c r="D9">
        <v>0</v>
      </c>
      <c r="E9">
        <v>0</v>
      </c>
      <c r="G9">
        <v>0</v>
      </c>
    </row>
    <row r="10" spans="1:7" x14ac:dyDescent="0.25">
      <c r="A10" t="s">
        <v>48</v>
      </c>
      <c r="B10" t="s">
        <v>34</v>
      </c>
      <c r="C10" t="s">
        <v>23</v>
      </c>
      <c r="D10">
        <v>0</v>
      </c>
      <c r="E10">
        <v>0</v>
      </c>
      <c r="G10">
        <v>0</v>
      </c>
    </row>
    <row r="11" spans="1:7" x14ac:dyDescent="0.25">
      <c r="A11" t="s">
        <v>48</v>
      </c>
      <c r="B11" t="s">
        <v>49</v>
      </c>
      <c r="D11">
        <v>0</v>
      </c>
      <c r="E11">
        <v>0</v>
      </c>
      <c r="G1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2115AE11-D2A9-419B-BCD6-50327C2087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01FC2B-6944-403C-BD60-7A56984EB5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3C9619-F3F1-4D83-9EE5-6D46DBD1C4EA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Network</vt:lpstr>
      <vt:lpstr>Make</vt:lpstr>
      <vt:lpstr>Store</vt:lpstr>
      <vt:lpstr>Move</vt:lpstr>
      <vt:lpstr>Deliver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2025-12-08T14:51:42Z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