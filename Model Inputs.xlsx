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torg3699892.sharepoint.com/sites/OneForecast/Shared Documents/Projects/Cement Australia/13 Simulation/06 Python/"/>
    </mc:Choice>
  </mc:AlternateContent>
  <xr:revisionPtr revIDLastSave="707" documentId="11_7702EEA085167BEC471CB38504FABC4A36F5DBF3" xr6:coauthVersionLast="47" xr6:coauthVersionMax="47" xr10:uidLastSave="{09C537E5-CEA7-417D-B7FD-5931EDD581E8}"/>
  <bookViews>
    <workbookView xWindow="38610" yWindow="7440" windowWidth="25185" windowHeight="21750" activeTab="1" xr2:uid="{00000000-000D-0000-FFFF-FFFF00000000}"/>
  </bookViews>
  <sheets>
    <sheet name="Settings" sheetId="1" r:id="rId1"/>
    <sheet name="Network" sheetId="2" r:id="rId2"/>
    <sheet name="Make" sheetId="3" r:id="rId3"/>
    <sheet name="Store" sheetId="4" r:id="rId4"/>
    <sheet name="Move" sheetId="5" r:id="rId5"/>
    <sheet name="Deliver" sheetId="6" r:id="rId6"/>
    <sheet name="Berths" sheetId="8" r:id="rId7"/>
    <sheet name="Ship_Routes" sheetId="7" r:id="rId8"/>
  </sheets>
  <definedNames>
    <definedName name="_xlnm._FilterDatabase" localSheetId="5" hidden="1">Deliver!$A$1:$D$23</definedName>
    <definedName name="_xlnm._FilterDatabase" localSheetId="1" hidden="1">Network!$B$1:$K$105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" l="1"/>
  <c r="G32" i="4"/>
  <c r="G33" i="4"/>
  <c r="G3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C16" i="6"/>
  <c r="D16" i="6"/>
  <c r="C21" i="6"/>
  <c r="C19" i="6"/>
  <c r="C18" i="6"/>
  <c r="C14" i="6"/>
  <c r="C12" i="6"/>
  <c r="C11" i="6"/>
  <c r="C7" i="6"/>
  <c r="D7" i="6" s="1"/>
  <c r="D6" i="6"/>
  <c r="C6" i="6"/>
  <c r="C5" i="6"/>
  <c r="D5" i="6" s="1"/>
  <c r="C4" i="6"/>
  <c r="D4" i="6" s="1"/>
  <c r="D11" i="6"/>
  <c r="D12" i="6"/>
  <c r="D14" i="6"/>
  <c r="D18" i="6"/>
  <c r="D19" i="6"/>
  <c r="D21" i="6"/>
  <c r="C23" i="6" l="1"/>
  <c r="D23" i="6" s="1"/>
  <c r="C22" i="6"/>
  <c r="D22" i="6" s="1"/>
  <c r="C20" i="6"/>
  <c r="D20" i="6" s="1"/>
  <c r="C17" i="6"/>
  <c r="D17" i="6" s="1"/>
  <c r="C15" i="6"/>
  <c r="D15" i="6" s="1"/>
  <c r="C13" i="6"/>
  <c r="D13" i="6" s="1"/>
  <c r="C10" i="6"/>
  <c r="D10" i="6" s="1"/>
  <c r="C9" i="6"/>
  <c r="D9" i="6" s="1"/>
  <c r="C8" i="6"/>
  <c r="D8" i="6" s="1"/>
  <c r="C3" i="6"/>
  <c r="D3" i="6" s="1"/>
  <c r="C2" i="6"/>
  <c r="D2" i="6" s="1"/>
  <c r="P67" i="2" l="1"/>
  <c r="M67" i="2"/>
  <c r="P66" i="2"/>
  <c r="M66" i="2"/>
  <c r="P65" i="2"/>
  <c r="M65" i="2"/>
  <c r="P64" i="2"/>
  <c r="N64" i="2"/>
  <c r="M64" i="2"/>
  <c r="P63" i="2"/>
  <c r="N63" i="2"/>
  <c r="M63" i="2"/>
  <c r="P62" i="2"/>
  <c r="N62" i="2"/>
  <c r="M62" i="2"/>
  <c r="P61" i="2"/>
  <c r="N61" i="2"/>
  <c r="M61" i="2"/>
  <c r="P60" i="2"/>
  <c r="N60" i="2"/>
  <c r="M60" i="2"/>
  <c r="P59" i="2"/>
  <c r="N59" i="2"/>
  <c r="M59" i="2"/>
  <c r="P58" i="2"/>
  <c r="N58" i="2"/>
  <c r="M58" i="2"/>
  <c r="P57" i="2"/>
  <c r="N57" i="2"/>
  <c r="M57" i="2"/>
  <c r="P56" i="2"/>
  <c r="N56" i="2"/>
  <c r="M56" i="2"/>
  <c r="P55" i="2"/>
  <c r="N55" i="2"/>
  <c r="M55" i="2"/>
  <c r="P54" i="2"/>
  <c r="N54" i="2"/>
  <c r="M54" i="2"/>
  <c r="P53" i="2"/>
  <c r="N53" i="2"/>
  <c r="M53" i="2"/>
  <c r="P52" i="2"/>
  <c r="N52" i="2"/>
  <c r="M52" i="2"/>
  <c r="P51" i="2"/>
  <c r="N51" i="2"/>
  <c r="M51" i="2"/>
  <c r="P50" i="2"/>
  <c r="N50" i="2"/>
  <c r="M50" i="2"/>
  <c r="P49" i="2"/>
  <c r="N49" i="2"/>
  <c r="M49" i="2"/>
  <c r="P48" i="2"/>
  <c r="N48" i="2"/>
  <c r="M48" i="2"/>
  <c r="P47" i="2"/>
  <c r="N47" i="2"/>
  <c r="M47" i="2"/>
  <c r="P46" i="2"/>
  <c r="N46" i="2"/>
  <c r="M46" i="2"/>
  <c r="P45" i="2"/>
  <c r="N45" i="2"/>
  <c r="M45" i="2"/>
  <c r="P44" i="2"/>
  <c r="N44" i="2"/>
  <c r="M44" i="2"/>
  <c r="P43" i="2"/>
  <c r="N43" i="2"/>
  <c r="M43" i="2"/>
  <c r="P42" i="2"/>
  <c r="N42" i="2"/>
  <c r="M42" i="2"/>
  <c r="P41" i="2"/>
  <c r="N41" i="2"/>
  <c r="M41" i="2"/>
  <c r="P40" i="2"/>
  <c r="N40" i="2"/>
  <c r="M40" i="2"/>
  <c r="P39" i="2"/>
  <c r="N39" i="2"/>
  <c r="M39" i="2"/>
  <c r="P38" i="2"/>
  <c r="N38" i="2"/>
  <c r="M38" i="2"/>
  <c r="P37" i="2"/>
  <c r="N37" i="2"/>
  <c r="M37" i="2"/>
  <c r="P36" i="2"/>
  <c r="N36" i="2"/>
  <c r="M36" i="2"/>
  <c r="P35" i="2"/>
  <c r="N35" i="2"/>
  <c r="M35" i="2"/>
  <c r="P34" i="2"/>
  <c r="N34" i="2"/>
  <c r="M34" i="2"/>
  <c r="P33" i="2"/>
  <c r="N33" i="2"/>
  <c r="M33" i="2"/>
  <c r="P32" i="2"/>
  <c r="N32" i="2"/>
  <c r="M32" i="2"/>
  <c r="P31" i="2"/>
  <c r="N31" i="2"/>
  <c r="M31" i="2"/>
  <c r="P30" i="2"/>
  <c r="N30" i="2"/>
  <c r="M30" i="2"/>
  <c r="P29" i="2"/>
  <c r="N29" i="2"/>
  <c r="M29" i="2"/>
  <c r="P28" i="2"/>
  <c r="N28" i="2"/>
  <c r="M28" i="2"/>
  <c r="P27" i="2"/>
  <c r="N27" i="2"/>
  <c r="M27" i="2"/>
  <c r="P26" i="2"/>
  <c r="N26" i="2"/>
  <c r="M26" i="2"/>
  <c r="P25" i="2"/>
  <c r="N25" i="2"/>
  <c r="M25" i="2"/>
  <c r="P24" i="2"/>
  <c r="N24" i="2"/>
  <c r="M24" i="2"/>
  <c r="P23" i="2"/>
  <c r="N23" i="2"/>
  <c r="M23" i="2"/>
  <c r="P22" i="2"/>
  <c r="N22" i="2"/>
  <c r="M22" i="2"/>
  <c r="P21" i="2"/>
  <c r="N21" i="2"/>
  <c r="M21" i="2"/>
  <c r="P20" i="2"/>
  <c r="N20" i="2"/>
  <c r="M20" i="2"/>
  <c r="P19" i="2"/>
  <c r="N19" i="2"/>
  <c r="M19" i="2"/>
  <c r="P18" i="2"/>
  <c r="N18" i="2"/>
  <c r="M18" i="2"/>
  <c r="P17" i="2"/>
  <c r="N17" i="2"/>
  <c r="M17" i="2"/>
  <c r="P16" i="2"/>
  <c r="N16" i="2"/>
  <c r="M16" i="2"/>
  <c r="P15" i="2"/>
  <c r="N15" i="2"/>
  <c r="M15" i="2"/>
  <c r="P14" i="2"/>
  <c r="N14" i="2"/>
  <c r="M14" i="2"/>
  <c r="P13" i="2"/>
  <c r="N13" i="2"/>
  <c r="M13" i="2"/>
  <c r="P12" i="2"/>
  <c r="N12" i="2"/>
  <c r="M12" i="2"/>
  <c r="P11" i="2"/>
  <c r="N11" i="2"/>
  <c r="M11" i="2"/>
  <c r="P10" i="2"/>
  <c r="N10" i="2"/>
  <c r="M10" i="2"/>
  <c r="P9" i="2"/>
  <c r="N9" i="2"/>
  <c r="M9" i="2"/>
  <c r="P8" i="2"/>
  <c r="N8" i="2"/>
  <c r="M8" i="2"/>
  <c r="P7" i="2"/>
  <c r="N7" i="2"/>
  <c r="M7" i="2"/>
  <c r="P6" i="2"/>
  <c r="N6" i="2"/>
  <c r="M6" i="2"/>
  <c r="P5" i="2"/>
  <c r="N5" i="2"/>
  <c r="M5" i="2"/>
  <c r="P4" i="2"/>
  <c r="N4" i="2"/>
  <c r="M4" i="2"/>
  <c r="P3" i="2"/>
  <c r="A3" i="2" s="1" a="1"/>
  <c r="A3" i="2" s="1"/>
  <c r="A6" i="2" s="1" a="1"/>
  <c r="A6" i="2" s="1"/>
  <c r="N3" i="2"/>
  <c r="M3" i="2"/>
  <c r="P2" i="2"/>
  <c r="N2" i="2"/>
  <c r="M2" i="2"/>
  <c r="A4" i="2" l="1" a="1"/>
  <c r="A4" i="2" s="1"/>
  <c r="A5" i="2" a="1"/>
  <c r="A5" i="2" s="1"/>
  <c r="A7" i="2" s="1" a="1"/>
  <c r="A7" i="2" s="1"/>
  <c r="A8" i="2" s="1" a="1"/>
  <c r="A8" i="2" s="1"/>
  <c r="A18" i="2" a="1"/>
  <c r="A18" i="2" s="1"/>
  <c r="A19" i="2" s="1" a="1"/>
  <c r="A19" i="2" s="1"/>
  <c r="A20" i="2" s="1" a="1"/>
  <c r="A20" i="2" s="1"/>
  <c r="A52" i="2" a="1"/>
  <c r="A52" i="2" s="1"/>
  <c r="A53" i="2" s="1" a="1"/>
  <c r="A53" i="2" s="1"/>
  <c r="A62" i="2" a="1"/>
  <c r="A62" i="2" s="1"/>
  <c r="A63" i="2" s="1" a="1"/>
  <c r="A63" i="2" s="1"/>
  <c r="A36" i="2" a="1"/>
  <c r="A36" i="2" s="1"/>
  <c r="A37" i="2" s="1" a="1"/>
  <c r="A37" i="2" s="1"/>
  <c r="A58" i="2" a="1"/>
  <c r="A58" i="2" s="1"/>
  <c r="A59" i="2" s="1" a="1"/>
  <c r="A59" i="2" s="1"/>
  <c r="A64" i="2" a="1"/>
  <c r="A64" i="2" s="1"/>
  <c r="A65" i="2" s="1" a="1"/>
  <c r="A65" i="2" s="1"/>
  <c r="A44" i="2" a="1"/>
  <c r="A44" i="2" s="1"/>
  <c r="A45" i="2" a="1"/>
  <c r="A45" i="2" s="1"/>
  <c r="A56" i="2" a="1"/>
  <c r="A56" i="2" s="1"/>
  <c r="A57" i="2" s="1" a="1"/>
  <c r="A57" i="2" s="1"/>
  <c r="A30" i="2" a="1"/>
  <c r="A30" i="2" s="1"/>
  <c r="A31" i="2" s="1" a="1"/>
  <c r="A31" i="2" s="1"/>
  <c r="A54" i="2" a="1"/>
  <c r="A54" i="2" s="1"/>
  <c r="A55" i="2" s="1" a="1"/>
  <c r="A55" i="2" s="1"/>
  <c r="A33" i="2" a="1"/>
  <c r="A33" i="2" s="1"/>
  <c r="A34" i="2" s="1" a="1"/>
  <c r="A34" i="2" s="1"/>
  <c r="A35" i="2" s="1" a="1"/>
  <c r="A35" i="2" s="1"/>
  <c r="A60" i="2" a="1"/>
  <c r="A60" i="2" s="1"/>
  <c r="A61" i="2" s="1" a="1"/>
  <c r="A61" i="2" s="1"/>
  <c r="A66" i="2" a="1"/>
  <c r="A66" i="2" s="1"/>
  <c r="A67" i="2" s="1" a="1"/>
  <c r="A67" i="2" s="1"/>
  <c r="A29" i="2" a="1"/>
  <c r="A29" i="2" s="1"/>
  <c r="O25" i="2"/>
  <c r="O36" i="2"/>
  <c r="O46" i="2"/>
  <c r="O42" i="2"/>
  <c r="O62" i="2"/>
  <c r="O9" i="2"/>
  <c r="O6" i="2"/>
  <c r="O63" i="2"/>
  <c r="O55" i="2"/>
  <c r="O49" i="2"/>
  <c r="O28" i="2"/>
  <c r="O47" i="2"/>
  <c r="O12" i="2"/>
  <c r="O2" i="2"/>
  <c r="O23" i="2"/>
  <c r="O33" i="2"/>
  <c r="O48" i="2"/>
  <c r="O53" i="2"/>
  <c r="O58" i="2"/>
  <c r="O18" i="2"/>
  <c r="O57" i="2"/>
  <c r="O13" i="2"/>
  <c r="O32" i="2"/>
  <c r="O7" i="2"/>
  <c r="O34" i="2"/>
  <c r="O39" i="2"/>
  <c r="O44" i="2"/>
  <c r="O59" i="2"/>
  <c r="O22" i="2"/>
  <c r="O52" i="2"/>
  <c r="O45" i="2"/>
  <c r="O15" i="2"/>
  <c r="O5" i="2"/>
  <c r="O61" i="2"/>
  <c r="O37" i="2"/>
  <c r="O29" i="2"/>
  <c r="O64" i="2"/>
  <c r="O14" i="2"/>
  <c r="O4" i="2"/>
  <c r="O60" i="2"/>
  <c r="O20" i="2"/>
  <c r="O50" i="2"/>
  <c r="O10" i="2"/>
  <c r="O41" i="2"/>
  <c r="O21" i="2"/>
  <c r="O26" i="2"/>
  <c r="O31" i="2"/>
  <c r="O51" i="2"/>
  <c r="O56" i="2"/>
  <c r="O40" i="2"/>
  <c r="O8" i="2"/>
  <c r="O16" i="2"/>
  <c r="O24" i="2"/>
  <c r="O19" i="2"/>
  <c r="O30" i="2"/>
  <c r="O17" i="2"/>
  <c r="O11" i="2"/>
  <c r="O38" i="2"/>
  <c r="O27" i="2"/>
  <c r="O35" i="2"/>
  <c r="O43" i="2"/>
  <c r="O54" i="2"/>
  <c r="O3" i="2"/>
  <c r="A9" i="2" l="1" a="1"/>
  <c r="A9" i="2" s="1"/>
  <c r="A11" i="2" s="1" a="1"/>
  <c r="A11" i="2" s="1"/>
  <c r="A21" i="2" a="1"/>
  <c r="A21" i="2" s="1"/>
  <c r="A46" i="2" a="1"/>
  <c r="A46" i="2" s="1"/>
  <c r="A47" i="2" s="1" a="1"/>
  <c r="A47" i="2" s="1"/>
  <c r="A48" i="2" s="1" a="1"/>
  <c r="A48" i="2" s="1"/>
  <c r="A10" i="2" a="1"/>
  <c r="A10" i="2" s="1"/>
  <c r="A32" i="2" a="1"/>
  <c r="A32" i="2" s="1"/>
  <c r="A39" i="2" a="1"/>
  <c r="A39" i="2" s="1"/>
  <c r="A38" i="2" a="1"/>
  <c r="A38" i="2" s="1"/>
  <c r="A40" i="2" s="1" a="1"/>
  <c r="A40" i="2" s="1"/>
  <c r="A41" i="2" s="1" a="1"/>
  <c r="A41" i="2" s="1"/>
  <c r="A12" i="2" l="1" a="1"/>
  <c r="A12" i="2" s="1"/>
  <c r="A14" i="2" s="1" a="1"/>
  <c r="A14" i="2" s="1"/>
  <c r="A22" i="2" a="1"/>
  <c r="A22" i="2" s="1"/>
  <c r="A25" i="2" s="1" a="1"/>
  <c r="A25" i="2" s="1"/>
  <c r="A26" i="2" s="1" a="1"/>
  <c r="A26" i="2" s="1"/>
  <c r="A27" i="2" s="1" a="1"/>
  <c r="A27" i="2" s="1"/>
  <c r="A24" i="2" a="1"/>
  <c r="A24" i="2" s="1"/>
  <c r="A23" i="2" a="1"/>
  <c r="A23" i="2" s="1"/>
  <c r="A42" i="2" a="1"/>
  <c r="A42" i="2" s="1"/>
  <c r="A43" i="2" s="1" a="1"/>
  <c r="A43" i="2" s="1"/>
  <c r="A15" i="2" a="1"/>
  <c r="A15" i="2" s="1"/>
  <c r="A49" i="2" a="1"/>
  <c r="A49" i="2" s="1"/>
  <c r="A50" i="2" a="1"/>
  <c r="A50" i="2" s="1"/>
  <c r="A16" i="2" l="1" a="1"/>
  <c r="A16" i="2" s="1"/>
  <c r="A13" i="2" a="1"/>
  <c r="A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<sst xmlns="http://schemas.openxmlformats.org/spreadsheetml/2006/main" count="2295" uniqueCount="188">
  <si>
    <t>Setting</t>
  </si>
  <si>
    <t>Value</t>
  </si>
  <si>
    <t>Number of Simulation Runs</t>
  </si>
  <si>
    <t>Modeling Horizon (#Days)</t>
  </si>
  <si>
    <t>Time Buckets (Days, Half Days, Hours)</t>
  </si>
  <si>
    <t>Hours</t>
  </si>
  <si>
    <t>Level</t>
  </si>
  <si>
    <t>Product Class</t>
  </si>
  <si>
    <t>Location</t>
  </si>
  <si>
    <t>Equipment Name</t>
  </si>
  <si>
    <t>Input</t>
  </si>
  <si>
    <t>Process</t>
  </si>
  <si>
    <t>Output</t>
  </si>
  <si>
    <t>Next Process</t>
  </si>
  <si>
    <t>Next Location</t>
  </si>
  <si>
    <t>Next Equipment</t>
  </si>
  <si>
    <t>Seq</t>
  </si>
  <si>
    <t>From</t>
  </si>
  <si>
    <t>To</t>
  </si>
  <si>
    <t>GP</t>
  </si>
  <si>
    <t>Gladstone</t>
  </si>
  <si>
    <t>K2</t>
  </si>
  <si>
    <t>None</t>
  </si>
  <si>
    <t>Make</t>
  </si>
  <si>
    <t>CL</t>
  </si>
  <si>
    <t>Store</t>
  </si>
  <si>
    <t>CL_STORE</t>
  </si>
  <si>
    <t>*</t>
  </si>
  <si>
    <t>Move</t>
  </si>
  <si>
    <t>SHIP</t>
  </si>
  <si>
    <t>Bulwer Island</t>
  </si>
  <si>
    <t>CM1</t>
  </si>
  <si>
    <t>CM2</t>
  </si>
  <si>
    <t>GP_STORE</t>
  </si>
  <si>
    <t>TRAIN</t>
  </si>
  <si>
    <t>Deliver</t>
  </si>
  <si>
    <t>TRUCK</t>
  </si>
  <si>
    <t>Townsville</t>
  </si>
  <si>
    <t>Port Kembla</t>
  </si>
  <si>
    <t>Newcastle</t>
  </si>
  <si>
    <t>Mackay</t>
  </si>
  <si>
    <t>Railton</t>
  </si>
  <si>
    <t>R1</t>
  </si>
  <si>
    <t>CM4</t>
  </si>
  <si>
    <t>CM5</t>
  </si>
  <si>
    <t>Melbourne</t>
  </si>
  <si>
    <t>Osborn</t>
  </si>
  <si>
    <t>Import</t>
  </si>
  <si>
    <t>CL_STORE_I</t>
  </si>
  <si>
    <t>CM10</t>
  </si>
  <si>
    <t>CM11</t>
  </si>
  <si>
    <t>VRM</t>
  </si>
  <si>
    <t>Albury</t>
  </si>
  <si>
    <t>Wagga</t>
  </si>
  <si>
    <t>Clyde</t>
  </si>
  <si>
    <t>FA</t>
  </si>
  <si>
    <t>FA_STORE</t>
  </si>
  <si>
    <t>Mean Production Rate (Tons/hr)</t>
  </si>
  <si>
    <t>Std Dev of Production Rate (Tons/Hr)</t>
  </si>
  <si>
    <t>Planned Maintenance Dates (Days of year)</t>
  </si>
  <si>
    <t>Unplanned downtime %</t>
  </si>
  <si>
    <t>Consumption %</t>
  </si>
  <si>
    <t>1, 2, 3, 4, 5, 6, 7, 8, 9, 10, 11, 12, 13, 14, 15, 16, 17, 18, 19, 36, 37, 56, 57, 58, 64, 87, 91, 92, 93, 99, 100, 106, 107, 113, 114, 119, 120, 121, 127, 128, 129, 140, 141, 142, 147, 148, 154, 155, 156, 162, 163, 169, 170, 176, 177, 182, 183, 184, 189, 190, 191, 196, 197, 198, 203, 204, 205, 206, 223, 224, 225, 226, 231, 232, 233, 238, 239, 240, 245, 246, 247, 248, 252, 253, 254, 260, 261, 262, 263, 268, 269, 275, 276, 277, 282, 283, 289, 295, 296, 301, 302, 337, 345, 351, 352, 359, 360, 361, 362, 363, 364</t>
  </si>
  <si>
    <t>1, 2, 3, 4, 5, 6, 7, 8, 9, 10, 11, 12, 13, 14, 15, 16, 17, 66, 67, 91, 92, 93, 98, 99, 128, 129, 323, 324, 351, 352, 353, 356, 357, 358, 359, 360, 361, 362, 363, 364</t>
  </si>
  <si>
    <t>9, 27, 28, 29, 30, 31, 37, 38, 98, 99, 100, 104, 105, 112, 113, 114, 115, 116, 117, 130, 131, 135, 136, 137, 138, 162, 163, 185, 186, 201, 202, 203, 227, 228, 229, 248, 249, 250, 251, 252, 253, 254, 255, 256, 257, 258, 259, 269, 286, 287, 288, 289, 297, 298, 330, 331, 332, 351, 352, 353, 357, 358, 359, 360, 361</t>
  </si>
  <si>
    <t>9, 10, 11, 20, 21, 22, 23, 24, 25, 26, 27, 28, 29, 30, 31, 36, 39, 40, 71, 72, 73, 74, 85, 86, 98, 99, 104, 105, 110, 111, 112, 113, 114, 115, 116, 117, 118, 128, 129, 130, 162, 163, 203, 204, 214, 215, 216, 227, 228, 229, 247, 248, 249, 269, 270, 279, 280, 286, 287, 288, 317, 330, 331, 332, 352, 353, 358, 359, 360</t>
  </si>
  <si>
    <t>146, 147, 148, 149, 150, 151, 152, 153, 154, 155, 156, 157, 158, 159, 160, 161, 162, 163, 164, 165</t>
  </si>
  <si>
    <t>1, 2, 3, 4, 5, 6, 7, 8, 9, 14, 15, 16, 17, 18, 19, 20, 27, 28, 35, 36, 42, 43, 48, 49, 50, 56, 57, 70, 77, 78, 79, 91, 92, 93, 94, 95, 96, 97, 119, 120, 133, 134, 140, 141, 142, 161, 162, 163, 164, 182, 183, 189, 190, 196, 197, 203, 204, 210, 211, 216, 217, 218, 224, 225, 231, 232, 238, 239, 240, 252, 253, 256, 260, 261, 264, 273, 280, 281, 282, 287, 288, 294, 295, 301, 302, 322, 323, 336, 337, 350, 351, 360, 361, 362, 363, 364</t>
  </si>
  <si>
    <t>2, 3, 4, 5, 6, 7, 14, 15, 16, 17, 18, 19, 20, 21, 22, 23, 24, 103, 104, 105, 106, 107, 108, 109, 110, 111, 112, 113, 114, 115, 116, 117, 118, 119, 120, 121, 245, 294, 295</t>
  </si>
  <si>
    <t>2, 3, 4, 5, 6, 7, 8, 9, 10, 11, 12, 13, 14, 159, 167, 168, 197, 198, 203, 204, 224, 245, 246, 294, 295</t>
  </si>
  <si>
    <t>95, 96, 97, 98, 99, 100, 101, 102, 103, 104, 105, 106, 107, 108, 109, 110, 111, 112, 113, 114, 115, 116, 117, 118, 119, 120</t>
  </si>
  <si>
    <t>Silo Max Capacity</t>
  </si>
  <si>
    <t>Silo Opening Stock (High)</t>
  </si>
  <si>
    <t>Silo Opening Stock (Low)</t>
  </si>
  <si>
    <t>Demand per Location</t>
  </si>
  <si>
    <t>SG</t>
  </si>
  <si>
    <t>GBFS_STORE</t>
  </si>
  <si>
    <t>GBFS</t>
  </si>
  <si>
    <t>SG_STORE</t>
  </si>
  <si>
    <t>Tennyson</t>
  </si>
  <si>
    <t>Chullora</t>
  </si>
  <si>
    <t>Stops</t>
  </si>
  <si>
    <t>Vessel ID</t>
  </si>
  <si>
    <t>Goliath</t>
  </si>
  <si>
    <t>Route ID</t>
  </si>
  <si>
    <t>Port</t>
  </si>
  <si>
    <t>Vessel</t>
  </si>
  <si>
    <t>Trip Count</t>
  </si>
  <si>
    <t>V1</t>
  </si>
  <si>
    <t>Ac Kathryn</t>
  </si>
  <si>
    <t>V2</t>
  </si>
  <si>
    <t>Adelie</t>
  </si>
  <si>
    <t>V3</t>
  </si>
  <si>
    <t>African Stork</t>
  </si>
  <si>
    <t>V4</t>
  </si>
  <si>
    <t>Akuna</t>
  </si>
  <si>
    <t>Sydney</t>
  </si>
  <si>
    <t>Osborne</t>
  </si>
  <si>
    <t>Devonport</t>
  </si>
  <si>
    <t>V5</t>
  </si>
  <si>
    <t>Atilla</t>
  </si>
  <si>
    <t>V6</t>
  </si>
  <si>
    <t>Basic Brave</t>
  </si>
  <si>
    <t>V7</t>
  </si>
  <si>
    <t>Clipper Triumph</t>
  </si>
  <si>
    <t>V8</t>
  </si>
  <si>
    <t>Coresky Ol</t>
  </si>
  <si>
    <t>V9</t>
  </si>
  <si>
    <t>Csl Reliance</t>
  </si>
  <si>
    <t>V10</t>
  </si>
  <si>
    <t>Csl Tbn</t>
  </si>
  <si>
    <t>V11</t>
  </si>
  <si>
    <t>Elanora</t>
  </si>
  <si>
    <t>V12</t>
  </si>
  <si>
    <t>Elenora</t>
  </si>
  <si>
    <t>V13</t>
  </si>
  <si>
    <t>Fortune Hero</t>
  </si>
  <si>
    <t>V14</t>
  </si>
  <si>
    <t>V15</t>
  </si>
  <si>
    <t>Ivs Ibis</t>
  </si>
  <si>
    <t>V16</t>
  </si>
  <si>
    <t>Ken Breeze</t>
  </si>
  <si>
    <t>V17</t>
  </si>
  <si>
    <t>Kondili</t>
  </si>
  <si>
    <t>V18</t>
  </si>
  <si>
    <t>La Briantais</t>
  </si>
  <si>
    <t>V19</t>
  </si>
  <si>
    <t>La Chamb</t>
  </si>
  <si>
    <t>V20</t>
  </si>
  <si>
    <t>La Landriais</t>
  </si>
  <si>
    <t>V21</t>
  </si>
  <si>
    <t>Luchow</t>
  </si>
  <si>
    <t>V22</t>
  </si>
  <si>
    <t>Luga</t>
  </si>
  <si>
    <t>V23</t>
  </si>
  <si>
    <t>Mareeba</t>
  </si>
  <si>
    <t>V24</t>
  </si>
  <si>
    <t>Martin Island</t>
  </si>
  <si>
    <t>V25</t>
  </si>
  <si>
    <t>Ocean Ibis</t>
  </si>
  <si>
    <t>V26</t>
  </si>
  <si>
    <t>Olivia</t>
  </si>
  <si>
    <t>V27</t>
  </si>
  <si>
    <t>Relcsl</t>
  </si>
  <si>
    <t>V28</t>
  </si>
  <si>
    <t>Seastar Enedavour</t>
  </si>
  <si>
    <t>V29</t>
  </si>
  <si>
    <t>Seastar Venture</t>
  </si>
  <si>
    <t>V30</t>
  </si>
  <si>
    <t>Tawaki</t>
  </si>
  <si>
    <t>V31</t>
  </si>
  <si>
    <t>Tbn</t>
  </si>
  <si>
    <t>V32</t>
  </si>
  <si>
    <t>V Monoceros</t>
  </si>
  <si>
    <t>V33</t>
  </si>
  <si>
    <t>Wyuna</t>
  </si>
  <si>
    <t>Annual Demand</t>
  </si>
  <si>
    <t>60kt in shed can only load at 500t/h</t>
  </si>
  <si>
    <t>Unconstrained for this model, can load 350t/h</t>
  </si>
  <si>
    <t>load 750t/h, Can also hold 10kt FAB, load rate 500t/h</t>
  </si>
  <si>
    <t xml:space="preserve">* </t>
  </si>
  <si>
    <t>Not key for this model</t>
  </si>
  <si>
    <t>1 Clinker Silo 80kt, unload rate 400t/h</t>
  </si>
  <si>
    <t>unload rate 500t/h</t>
  </si>
  <si>
    <t>unload rate 400t/h</t>
  </si>
  <si>
    <t>Confirm With Peter</t>
  </si>
  <si>
    <t>Unconstrained for this model, can load instantly</t>
  </si>
  <si>
    <t>unload rate 700t/h</t>
  </si>
  <si>
    <t>???</t>
  </si>
  <si>
    <t>unload rate 700t/h, Check with Peter</t>
  </si>
  <si>
    <t>unload rate 700t/h, Check with Peter, Multi Cell Silo</t>
  </si>
  <si>
    <t>unload rate 700t/h, 4*2.5 plus 12 kt shed (can only do 10 FA)</t>
  </si>
  <si>
    <t>unload rate 500t/h, Silo D 7 cell - 25T available for CA, 1x15 SG and 2x5 FAV/SG</t>
  </si>
  <si>
    <t>unload 500t/h, Cement/SG, Double Check</t>
  </si>
  <si>
    <t>Product</t>
  </si>
  <si>
    <t>#Equipment (99-unlimited)</t>
  </si>
  <si>
    <t>#Parcels</t>
  </si>
  <si>
    <t>Capacity Per Parcel</t>
  </si>
  <si>
    <t>Load Rate (Ton/hr)</t>
  </si>
  <si>
    <t>Travel to Time (Min)</t>
  </si>
  <si>
    <t>Unload Rate (Ton/Hr)</t>
  </si>
  <si>
    <t>Travel back Time (Min)</t>
  </si>
  <si>
    <t>Silo S&amp;T</t>
  </si>
  <si>
    <t>load rate 1000t/h, Silo Z</t>
  </si>
  <si>
    <t>=IF(ISNA(XLOOKUP(P3,$P$2:P2,$A$2:A2)),IF(COUNTIFS($P$2:P3,P3)=1,IF(COUNTIFS($C$2:C2,C3)=0,1,MAXIFS($A$2:A2,$C$2:C2,C3)+1),A2),XLOOKUP(P3,$P$2:P2,$A$2:A2))</t>
  </si>
  <si>
    <t>GP_STORE_ST</t>
  </si>
  <si>
    <t>GP_STORE_Q</t>
  </si>
  <si>
    <t>Silo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</si>
</sst>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0" xfId="0" quotePrefix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365</v>
      </c>
    </row>
    <row r="4" spans="1:2" x14ac:dyDescent="0.25">
      <c r="A4" t="s">
        <v>4</v>
      </c>
      <c r="B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5"/>
  <sheetViews>
    <sheetView tabSelected="1" topLeftCell="A55" zoomScaleNormal="100" workbookViewId="0">
      <selection activeCell="C76" sqref="C76:C77"/>
    </sheetView>
  </sheetViews>
  <sheetFormatPr defaultRowHeight="15" x14ac:dyDescent="0.25"/>
  <cols>
    <col min="2" max="8" width="16.85546875" customWidth="1"/>
    <col min="9" max="9" width="12.85546875" bestFit="1" customWidth="1"/>
    <col min="10" max="10" width="14.85546875" bestFit="1" customWidth="1"/>
    <col min="11" max="11" width="14.85546875" customWidth="1"/>
    <col min="13" max="13" width="30" bestFit="1" customWidth="1"/>
    <col min="14" max="14" width="29.28515625" bestFit="1" customWidth="1"/>
  </cols>
  <sheetData>
    <row r="1" spans="1:1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M1" t="s">
        <v>17</v>
      </c>
      <c r="N1" t="s">
        <v>18</v>
      </c>
    </row>
    <row r="2" spans="1:19" x14ac:dyDescent="0.25">
      <c r="A2" s="1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20</v>
      </c>
      <c r="J2" t="s">
        <v>26</v>
      </c>
      <c r="K2">
        <v>1</v>
      </c>
      <c r="L2" s="1" t="s">
        <v>27</v>
      </c>
      <c r="M2" s="1" t="str">
        <f t="shared" ref="M2:M33" si="0">C2&amp;F2&amp;D2&amp;E2</f>
        <v>GladstoneMakeK2None</v>
      </c>
      <c r="N2" s="1" t="str">
        <f t="shared" ref="N2:N33" si="1">I2&amp;H2&amp;J2&amp;G2</f>
        <v>GladstoneStoreCL_STORECL</v>
      </c>
      <c r="O2" s="1">
        <f t="shared" ref="O2:O33" si="2">COUNTIFS(M:M,N2)</f>
        <v>3</v>
      </c>
      <c r="P2" s="1" t="str">
        <f t="shared" ref="P2:P33" si="3">C2&amp;F2&amp;G2</f>
        <v>GladstoneMakeCL</v>
      </c>
      <c r="Q2" s="1"/>
    </row>
    <row r="3" spans="1:19" x14ac:dyDescent="0.25">
      <c r="A3" cm="1">
        <f t="array" ref="A3">IF(ISNA(_xlfn.XLOOKUP(P3,$P$2:P2,$A$2:A2)),IF(COUNTIFS($P$2:P3,P3)=1,IF(COUNTIFS($C$2:C2,C3)=0,1,_xlfn.MAXIFS($A$2:A2,$C$2:C2,C3)+1),A2),_xlfn.XLOOKUP(P3,$P$2:P2,$A$2:A2))</f>
        <v>2</v>
      </c>
      <c r="B3" t="s">
        <v>19</v>
      </c>
      <c r="C3" t="s">
        <v>20</v>
      </c>
      <c r="D3" t="s">
        <v>26</v>
      </c>
      <c r="E3" t="s">
        <v>24</v>
      </c>
      <c r="F3" t="s">
        <v>25</v>
      </c>
      <c r="G3" t="s">
        <v>24</v>
      </c>
      <c r="H3" t="s">
        <v>28</v>
      </c>
      <c r="I3" t="s">
        <v>20</v>
      </c>
      <c r="J3" t="s">
        <v>29</v>
      </c>
      <c r="K3">
        <v>2</v>
      </c>
      <c r="L3" s="1" t="s">
        <v>27</v>
      </c>
      <c r="M3" s="1" t="str">
        <f t="shared" si="0"/>
        <v>GladstoneStoreCL_STORECL</v>
      </c>
      <c r="N3" s="1" t="str">
        <f t="shared" si="1"/>
        <v>GladstoneMoveSHIPCL</v>
      </c>
      <c r="O3" s="1">
        <f t="shared" si="2"/>
        <v>1</v>
      </c>
      <c r="P3" s="1" t="str">
        <f t="shared" si="3"/>
        <v>GladstoneStoreCL</v>
      </c>
      <c r="Q3" s="1"/>
      <c r="S3" s="6" t="s">
        <v>184</v>
      </c>
    </row>
    <row r="4" spans="1:19" x14ac:dyDescent="0.25">
      <c r="A4" cm="1">
        <f t="array" ref="A4">IF(ISNA(_xlfn.XLOOKUP(P4,$P$2:P3,$A$2:A3)),IF(COUNTIFS($P$2:P4,P4)=1,IF(COUNTIFS($C$2:C3,C4)=0,1,_xlfn.MAXIFS($A$2:A3,$C$2:C3,C4)+1),A3),_xlfn.XLOOKUP(P4,$P$2:P3,$A$2:A3))</f>
        <v>3</v>
      </c>
      <c r="B4" t="s">
        <v>19</v>
      </c>
      <c r="C4" t="s">
        <v>20</v>
      </c>
      <c r="D4" t="s">
        <v>29</v>
      </c>
      <c r="E4" t="s">
        <v>24</v>
      </c>
      <c r="F4" t="s">
        <v>28</v>
      </c>
      <c r="G4" t="s">
        <v>24</v>
      </c>
      <c r="H4" t="s">
        <v>25</v>
      </c>
      <c r="I4" t="s">
        <v>30</v>
      </c>
      <c r="J4" t="s">
        <v>26</v>
      </c>
      <c r="K4">
        <v>3</v>
      </c>
      <c r="L4" t="s">
        <v>27</v>
      </c>
      <c r="M4" t="str">
        <f t="shared" si="0"/>
        <v>GladstoneMoveSHIPCL</v>
      </c>
      <c r="N4" t="str">
        <f t="shared" si="1"/>
        <v>Bulwer IslandStoreCL_STORECL</v>
      </c>
      <c r="O4">
        <f t="shared" si="2"/>
        <v>2</v>
      </c>
      <c r="P4" t="str">
        <f t="shared" si="3"/>
        <v>GladstoneMoveCL</v>
      </c>
    </row>
    <row r="5" spans="1:19" x14ac:dyDescent="0.25">
      <c r="A5" cm="1">
        <f t="array" ref="A5">IF(ISNA(_xlfn.XLOOKUP(P5,$P$2:P4,$A$2:A4)),IF(COUNTIFS($P$2:P5,P5)=1,IF(COUNTIFS($C$2:C4,C5)=0,1,_xlfn.MAXIFS($A$2:A4,$C$2:C4,C5)+1),A4),_xlfn.XLOOKUP(P5,$P$2:P4,$A$2:A4))</f>
        <v>2</v>
      </c>
      <c r="B5" t="s">
        <v>19</v>
      </c>
      <c r="C5" t="s">
        <v>20</v>
      </c>
      <c r="D5" t="s">
        <v>26</v>
      </c>
      <c r="E5" t="s">
        <v>24</v>
      </c>
      <c r="F5" t="s">
        <v>25</v>
      </c>
      <c r="G5" t="s">
        <v>24</v>
      </c>
      <c r="H5" t="s">
        <v>23</v>
      </c>
      <c r="I5" t="s">
        <v>20</v>
      </c>
      <c r="J5" t="s">
        <v>31</v>
      </c>
      <c r="K5">
        <v>2</v>
      </c>
      <c r="L5" t="s">
        <v>27</v>
      </c>
      <c r="M5" t="str">
        <f t="shared" si="0"/>
        <v>GladstoneStoreCL_STORECL</v>
      </c>
      <c r="N5" t="str">
        <f t="shared" si="1"/>
        <v>GladstoneMakeCM1CL</v>
      </c>
      <c r="O5">
        <f t="shared" si="2"/>
        <v>1</v>
      </c>
      <c r="P5" t="str">
        <f t="shared" si="3"/>
        <v>GladstoneStoreCL</v>
      </c>
    </row>
    <row r="6" spans="1:19" x14ac:dyDescent="0.25">
      <c r="A6" cm="1">
        <f t="array" ref="A6">IF(ISNA(_xlfn.XLOOKUP(P6,$P$2:P5,$A$2:A5)),IF(COUNTIFS($P$2:P6,P6)=1,IF(COUNTIFS($C$2:C5,C6)=0,1,_xlfn.MAXIFS($A$2:A5,$C$2:C5,C6)+1),A5),_xlfn.XLOOKUP(P6,$P$2:P5,$A$2:A5))</f>
        <v>2</v>
      </c>
      <c r="B6" t="s">
        <v>19</v>
      </c>
      <c r="C6" t="s">
        <v>20</v>
      </c>
      <c r="D6" t="s">
        <v>26</v>
      </c>
      <c r="E6" t="s">
        <v>24</v>
      </c>
      <c r="F6" t="s">
        <v>25</v>
      </c>
      <c r="G6" t="s">
        <v>24</v>
      </c>
      <c r="H6" t="s">
        <v>23</v>
      </c>
      <c r="I6" t="s">
        <v>20</v>
      </c>
      <c r="J6" t="s">
        <v>32</v>
      </c>
      <c r="K6">
        <v>2</v>
      </c>
      <c r="L6" t="s">
        <v>27</v>
      </c>
      <c r="M6" t="str">
        <f t="shared" si="0"/>
        <v>GladstoneStoreCL_STORECL</v>
      </c>
      <c r="N6" t="str">
        <f t="shared" si="1"/>
        <v>GladstoneMakeCM2CL</v>
      </c>
      <c r="O6">
        <f t="shared" si="2"/>
        <v>1</v>
      </c>
      <c r="P6" t="str">
        <f t="shared" si="3"/>
        <v>GladstoneStoreCL</v>
      </c>
    </row>
    <row r="7" spans="1:19" x14ac:dyDescent="0.25">
      <c r="A7" cm="1">
        <f t="array" ref="A7">IF(ISNA(_xlfn.XLOOKUP(P7,$P$2:P6,$A$2:A6)),IF(COUNTIFS($P$2:P7,P7)=1,IF(COUNTIFS($C$2:C6,C7)=0,1,_xlfn.MAXIFS($A$2:A6,$C$2:C6,C7)+1),A6),_xlfn.XLOOKUP(P7,$P$2:P6,$A$2:A6))</f>
        <v>4</v>
      </c>
      <c r="B7" t="s">
        <v>19</v>
      </c>
      <c r="C7" t="s">
        <v>20</v>
      </c>
      <c r="D7" t="s">
        <v>31</v>
      </c>
      <c r="E7" t="s">
        <v>24</v>
      </c>
      <c r="F7" t="s">
        <v>23</v>
      </c>
      <c r="G7" t="s">
        <v>19</v>
      </c>
      <c r="H7" t="s">
        <v>25</v>
      </c>
      <c r="I7" t="s">
        <v>20</v>
      </c>
      <c r="J7" t="s">
        <v>33</v>
      </c>
      <c r="K7">
        <v>1</v>
      </c>
      <c r="L7" t="s">
        <v>27</v>
      </c>
      <c r="M7" t="str">
        <f t="shared" si="0"/>
        <v>GladstoneMakeCM1CL</v>
      </c>
      <c r="N7" t="str">
        <f t="shared" si="1"/>
        <v>GladstoneStoreGP_STOREGP</v>
      </c>
      <c r="O7">
        <f t="shared" si="2"/>
        <v>3</v>
      </c>
      <c r="P7" t="str">
        <f t="shared" si="3"/>
        <v>GladstoneMakeGP</v>
      </c>
    </row>
    <row r="8" spans="1:19" x14ac:dyDescent="0.25">
      <c r="A8" cm="1">
        <f t="array" ref="A8">IF(ISNA(_xlfn.XLOOKUP(P8,$P$2:P7,$A$2:A7)),IF(COUNTIFS($P$2:P8,P8)=1,IF(COUNTIFS($C$2:C7,C8)=0,1,_xlfn.MAXIFS($A$2:A7,$C$2:C7,C8)+1),A7),_xlfn.XLOOKUP(P8,$P$2:P7,$A$2:A7))</f>
        <v>4</v>
      </c>
      <c r="B8" t="s">
        <v>19</v>
      </c>
      <c r="C8" t="s">
        <v>20</v>
      </c>
      <c r="D8" t="s">
        <v>32</v>
      </c>
      <c r="E8" t="s">
        <v>24</v>
      </c>
      <c r="F8" t="s">
        <v>23</v>
      </c>
      <c r="G8" t="s">
        <v>19</v>
      </c>
      <c r="H8" t="s">
        <v>25</v>
      </c>
      <c r="I8" t="s">
        <v>20</v>
      </c>
      <c r="J8" t="s">
        <v>33</v>
      </c>
      <c r="K8">
        <v>1</v>
      </c>
      <c r="L8" t="s">
        <v>27</v>
      </c>
      <c r="M8" t="str">
        <f t="shared" si="0"/>
        <v>GladstoneMakeCM2CL</v>
      </c>
      <c r="N8" t="str">
        <f t="shared" si="1"/>
        <v>GladstoneStoreGP_STOREGP</v>
      </c>
      <c r="O8">
        <f t="shared" si="2"/>
        <v>3</v>
      </c>
      <c r="P8" t="str">
        <f t="shared" si="3"/>
        <v>GladstoneMakeGP</v>
      </c>
    </row>
    <row r="9" spans="1:19" x14ac:dyDescent="0.25">
      <c r="A9" cm="1">
        <f t="array" ref="A9">IF(ISNA(_xlfn.XLOOKUP(P9,$P$2:P8,$A$2:A8)),IF(COUNTIFS($P$2:P9,P9)=1,IF(COUNTIFS($C$2:C8,C9)=0,1,_xlfn.MAXIFS($A$2:A8,$C$2:C8,C9)+1),A8),_xlfn.XLOOKUP(P9,$P$2:P8,$A$2:A8))</f>
        <v>5</v>
      </c>
      <c r="B9" t="s">
        <v>19</v>
      </c>
      <c r="C9" t="s">
        <v>20</v>
      </c>
      <c r="D9" t="s">
        <v>33</v>
      </c>
      <c r="E9" t="s">
        <v>19</v>
      </c>
      <c r="F9" t="s">
        <v>25</v>
      </c>
      <c r="G9" t="s">
        <v>19</v>
      </c>
      <c r="H9" t="s">
        <v>28</v>
      </c>
      <c r="I9" t="s">
        <v>20</v>
      </c>
      <c r="J9" t="s">
        <v>29</v>
      </c>
      <c r="K9">
        <v>2</v>
      </c>
      <c r="L9" t="s">
        <v>27</v>
      </c>
      <c r="M9" t="str">
        <f t="shared" si="0"/>
        <v>GladstoneStoreGP_STOREGP</v>
      </c>
      <c r="N9" t="str">
        <f t="shared" si="1"/>
        <v>GladstoneMoveSHIPGP</v>
      </c>
      <c r="O9">
        <f t="shared" si="2"/>
        <v>4</v>
      </c>
      <c r="P9" t="str">
        <f t="shared" si="3"/>
        <v>GladstoneStoreGP</v>
      </c>
    </row>
    <row r="10" spans="1:19" x14ac:dyDescent="0.25">
      <c r="A10" cm="1">
        <f t="array" ref="A10">IF(ISNA(_xlfn.XLOOKUP(P10,$P$2:P9,$A$2:A9)),IF(COUNTIFS($P$2:P10,P10)=1,IF(COUNTIFS($C$2:C9,C10)=0,1,_xlfn.MAXIFS($A$2:A9,$C$2:C9,C10)+1),A9),_xlfn.XLOOKUP(P10,$P$2:P9,$A$2:A9))</f>
        <v>5</v>
      </c>
      <c r="B10" t="s">
        <v>19</v>
      </c>
      <c r="C10" t="s">
        <v>20</v>
      </c>
      <c r="D10" t="s">
        <v>33</v>
      </c>
      <c r="E10" t="s">
        <v>19</v>
      </c>
      <c r="F10" t="s">
        <v>25</v>
      </c>
      <c r="G10" t="s">
        <v>19</v>
      </c>
      <c r="H10" t="s">
        <v>28</v>
      </c>
      <c r="I10" t="s">
        <v>20</v>
      </c>
      <c r="J10" t="s">
        <v>34</v>
      </c>
      <c r="K10">
        <v>2</v>
      </c>
      <c r="L10" t="s">
        <v>27</v>
      </c>
      <c r="M10" t="str">
        <f t="shared" si="0"/>
        <v>GladstoneStoreGP_STOREGP</v>
      </c>
      <c r="N10" t="str">
        <f t="shared" si="1"/>
        <v>GladstoneMoveTRAINGP</v>
      </c>
      <c r="O10">
        <f t="shared" si="2"/>
        <v>1</v>
      </c>
      <c r="P10" t="str">
        <f t="shared" si="3"/>
        <v>GladstoneStoreGP</v>
      </c>
    </row>
    <row r="11" spans="1:19" x14ac:dyDescent="0.25">
      <c r="A11" cm="1">
        <f t="array" ref="A11">IF(ISNA(_xlfn.XLOOKUP(P11,$P$2:P10,$A$2:A10)),IF(COUNTIFS($P$2:P11,P11)=1,IF(COUNTIFS($C$2:C10,C11)=0,1,_xlfn.MAXIFS($A$2:A10,$C$2:C10,C11)+1),A10),_xlfn.XLOOKUP(P11,$P$2:P10,$A$2:A10))</f>
        <v>5</v>
      </c>
      <c r="B11" t="s">
        <v>19</v>
      </c>
      <c r="C11" t="s">
        <v>20</v>
      </c>
      <c r="D11" t="s">
        <v>33</v>
      </c>
      <c r="E11" t="s">
        <v>19</v>
      </c>
      <c r="F11" t="s">
        <v>25</v>
      </c>
      <c r="G11" t="s">
        <v>19</v>
      </c>
      <c r="H11" t="s">
        <v>35</v>
      </c>
      <c r="I11" t="s">
        <v>20</v>
      </c>
      <c r="J11" t="s">
        <v>36</v>
      </c>
      <c r="K11">
        <v>2</v>
      </c>
      <c r="L11" t="s">
        <v>27</v>
      </c>
      <c r="M11" t="str">
        <f t="shared" si="0"/>
        <v>GladstoneStoreGP_STOREGP</v>
      </c>
      <c r="N11" t="str">
        <f t="shared" si="1"/>
        <v>GladstoneDeliverTRUCKGP</v>
      </c>
      <c r="O11">
        <f t="shared" si="2"/>
        <v>1</v>
      </c>
      <c r="P11" t="str">
        <f t="shared" si="3"/>
        <v>GladstoneStoreGP</v>
      </c>
    </row>
    <row r="12" spans="1:19" x14ac:dyDescent="0.25">
      <c r="A12" cm="1">
        <f t="array" ref="A12">IF(ISNA(_xlfn.XLOOKUP(P12,$P$2:P11,$A$2:A11)),IF(COUNTIFS($P$2:P12,P12)=1,IF(COUNTIFS($C$2:C11,C12)=0,1,_xlfn.MAXIFS($A$2:A11,$C$2:C11,C12)+1),A11),_xlfn.XLOOKUP(P12,$P$2:P11,$A$2:A11))</f>
        <v>6</v>
      </c>
      <c r="B12" t="s">
        <v>19</v>
      </c>
      <c r="C12" t="s">
        <v>20</v>
      </c>
      <c r="D12" t="s">
        <v>29</v>
      </c>
      <c r="E12" t="s">
        <v>19</v>
      </c>
      <c r="F12" t="s">
        <v>28</v>
      </c>
      <c r="G12" t="s">
        <v>19</v>
      </c>
      <c r="H12" t="s">
        <v>25</v>
      </c>
      <c r="I12" t="s">
        <v>37</v>
      </c>
      <c r="J12" t="s">
        <v>33</v>
      </c>
      <c r="K12">
        <v>3</v>
      </c>
      <c r="L12" t="s">
        <v>27</v>
      </c>
      <c r="M12" t="str">
        <f t="shared" si="0"/>
        <v>GladstoneMoveSHIPGP</v>
      </c>
      <c r="N12" t="str">
        <f t="shared" si="1"/>
        <v>TownsvilleStoreGP_STOREGP</v>
      </c>
      <c r="O12">
        <f t="shared" si="2"/>
        <v>1</v>
      </c>
      <c r="P12" t="str">
        <f t="shared" si="3"/>
        <v>GladstoneMoveGP</v>
      </c>
    </row>
    <row r="13" spans="1:19" x14ac:dyDescent="0.25">
      <c r="A13" cm="1">
        <f t="array" ref="A13">IF(ISNA(_xlfn.XLOOKUP(P13,$P$2:P12,$A$2:A12)),IF(COUNTIFS($P$2:P13,P13)=1,IF(COUNTIFS($C$2:C12,C13)=0,1,_xlfn.MAXIFS($A$2:A12,$C$2:C12,C13)+1),A12),_xlfn.XLOOKUP(P13,$P$2:P12,$A$2:A12))</f>
        <v>6</v>
      </c>
      <c r="B13" t="s">
        <v>19</v>
      </c>
      <c r="C13" t="s">
        <v>20</v>
      </c>
      <c r="D13" t="s">
        <v>29</v>
      </c>
      <c r="E13" t="s">
        <v>19</v>
      </c>
      <c r="F13" t="s">
        <v>28</v>
      </c>
      <c r="G13" t="s">
        <v>19</v>
      </c>
      <c r="H13" t="s">
        <v>25</v>
      </c>
      <c r="I13" t="s">
        <v>38</v>
      </c>
      <c r="J13" t="s">
        <v>33</v>
      </c>
      <c r="K13">
        <v>3</v>
      </c>
      <c r="L13" t="s">
        <v>27</v>
      </c>
      <c r="M13" t="str">
        <f t="shared" si="0"/>
        <v>GladstoneMoveSHIPGP</v>
      </c>
      <c r="N13" t="str">
        <f t="shared" si="1"/>
        <v>Port KemblaStoreGP_STOREGP</v>
      </c>
      <c r="O13">
        <f t="shared" si="2"/>
        <v>2</v>
      </c>
      <c r="P13" t="str">
        <f t="shared" si="3"/>
        <v>GladstoneMoveGP</v>
      </c>
    </row>
    <row r="14" spans="1:19" x14ac:dyDescent="0.25">
      <c r="A14" cm="1">
        <f t="array" ref="A14">IF(ISNA(_xlfn.XLOOKUP(P14,$P$2:P13,$A$2:A13)),IF(COUNTIFS($P$2:P14,P14)=1,IF(COUNTIFS($C$2:C13,C14)=0,1,_xlfn.MAXIFS($A$2:A13,$C$2:C13,C14)+1),A13),_xlfn.XLOOKUP(P14,$P$2:P13,$A$2:A13))</f>
        <v>6</v>
      </c>
      <c r="B14" t="s">
        <v>19</v>
      </c>
      <c r="C14" t="s">
        <v>20</v>
      </c>
      <c r="D14" t="s">
        <v>29</v>
      </c>
      <c r="E14" t="s">
        <v>19</v>
      </c>
      <c r="F14" t="s">
        <v>28</v>
      </c>
      <c r="G14" t="s">
        <v>19</v>
      </c>
      <c r="H14" t="s">
        <v>25</v>
      </c>
      <c r="I14" t="s">
        <v>39</v>
      </c>
      <c r="J14" t="s">
        <v>33</v>
      </c>
      <c r="K14">
        <v>3</v>
      </c>
      <c r="L14" t="s">
        <v>27</v>
      </c>
      <c r="M14" t="str">
        <f t="shared" si="0"/>
        <v>GladstoneMoveSHIPGP</v>
      </c>
      <c r="N14" t="str">
        <f t="shared" si="1"/>
        <v>NewcastleStoreGP_STOREGP</v>
      </c>
      <c r="O14">
        <f t="shared" si="2"/>
        <v>1</v>
      </c>
      <c r="P14" t="str">
        <f t="shared" si="3"/>
        <v>GladstoneMoveGP</v>
      </c>
    </row>
    <row r="15" spans="1:19" x14ac:dyDescent="0.25">
      <c r="A15" cm="1">
        <f t="array" ref="A15">IF(ISNA(_xlfn.XLOOKUP(P15,$P$2:P14,$A$2:A14)),IF(COUNTIFS($P$2:P15,P15)=1,IF(COUNTIFS($C$2:C14,C15)=0,1,_xlfn.MAXIFS($A$2:A14,$C$2:C14,C15)+1),A14),_xlfn.XLOOKUP(P15,$P$2:P14,$A$2:A14))</f>
        <v>6</v>
      </c>
      <c r="B15" t="s">
        <v>19</v>
      </c>
      <c r="C15" t="s">
        <v>20</v>
      </c>
      <c r="D15" t="s">
        <v>29</v>
      </c>
      <c r="E15" t="s">
        <v>19</v>
      </c>
      <c r="F15" t="s">
        <v>28</v>
      </c>
      <c r="G15" t="s">
        <v>19</v>
      </c>
      <c r="H15" t="s">
        <v>25</v>
      </c>
      <c r="I15" t="s">
        <v>30</v>
      </c>
      <c r="J15" t="s">
        <v>33</v>
      </c>
      <c r="K15">
        <v>3</v>
      </c>
      <c r="L15" t="s">
        <v>27</v>
      </c>
      <c r="M15" t="str">
        <f t="shared" si="0"/>
        <v>GladstoneMoveSHIPGP</v>
      </c>
      <c r="N15" t="str">
        <f t="shared" si="1"/>
        <v>Bulwer IslandStoreGP_STOREGP</v>
      </c>
      <c r="O15">
        <f t="shared" si="2"/>
        <v>1</v>
      </c>
      <c r="P15" t="str">
        <f t="shared" si="3"/>
        <v>GladstoneMoveGP</v>
      </c>
    </row>
    <row r="16" spans="1:19" x14ac:dyDescent="0.25">
      <c r="A16" cm="1">
        <f t="array" ref="A16">IF(ISNA(_xlfn.XLOOKUP(P16,$P$2:P15,$A$2:A15)),IF(COUNTIFS($P$2:P16,P16)=1,IF(COUNTIFS($C$2:C15,C16)=0,1,_xlfn.MAXIFS($A$2:A15,$C$2:C15,C16)+1),A15),_xlfn.XLOOKUP(P16,$P$2:P15,$A$2:A15))</f>
        <v>6</v>
      </c>
      <c r="B16" t="s">
        <v>19</v>
      </c>
      <c r="C16" t="s">
        <v>20</v>
      </c>
      <c r="D16" t="s">
        <v>34</v>
      </c>
      <c r="E16" t="s">
        <v>19</v>
      </c>
      <c r="F16" t="s">
        <v>28</v>
      </c>
      <c r="G16" t="s">
        <v>19</v>
      </c>
      <c r="H16" t="s">
        <v>25</v>
      </c>
      <c r="I16" t="s">
        <v>40</v>
      </c>
      <c r="J16" t="s">
        <v>33</v>
      </c>
      <c r="K16">
        <v>3</v>
      </c>
      <c r="L16" t="s">
        <v>27</v>
      </c>
      <c r="M16" t="str">
        <f t="shared" si="0"/>
        <v>GladstoneMoveTRAINGP</v>
      </c>
      <c r="N16" t="str">
        <f t="shared" si="1"/>
        <v>MackayStoreGP_STOREGP</v>
      </c>
      <c r="O16">
        <f t="shared" si="2"/>
        <v>1</v>
      </c>
      <c r="P16" t="str">
        <f t="shared" si="3"/>
        <v>GladstoneMoveGP</v>
      </c>
    </row>
    <row r="17" spans="1:16" x14ac:dyDescent="0.25">
      <c r="A17" s="1">
        <v>6</v>
      </c>
      <c r="B17" t="s">
        <v>19</v>
      </c>
      <c r="C17" t="s">
        <v>20</v>
      </c>
      <c r="D17" t="s">
        <v>36</v>
      </c>
      <c r="E17" t="s">
        <v>19</v>
      </c>
      <c r="F17" t="s">
        <v>35</v>
      </c>
      <c r="G17" t="s">
        <v>19</v>
      </c>
      <c r="K17">
        <v>4</v>
      </c>
      <c r="L17" t="s">
        <v>27</v>
      </c>
      <c r="M17" t="str">
        <f t="shared" si="0"/>
        <v>GladstoneDeliverTRUCKGP</v>
      </c>
      <c r="N17" t="str">
        <f t="shared" si="1"/>
        <v>GP</v>
      </c>
      <c r="O17">
        <f t="shared" si="2"/>
        <v>0</v>
      </c>
      <c r="P17" t="str">
        <f t="shared" si="3"/>
        <v>GladstoneDeliverGP</v>
      </c>
    </row>
    <row r="18" spans="1:16" x14ac:dyDescent="0.25">
      <c r="A18" cm="1">
        <f t="array" ref="A18">IF(ISNA(_xlfn.XLOOKUP(P18,$P$2:P17,$A$2:A17)),IF(COUNTIFS($P$2:P18,P18)=1,IF(COUNTIFS($C$2:C17,C18)=0,1,_xlfn.MAXIFS($A$2:A17,$C$2:C17,C18)+1),A17),_xlfn.XLOOKUP(P18,$P$2:P17,$A$2:A17))</f>
        <v>1</v>
      </c>
      <c r="B18" t="s">
        <v>19</v>
      </c>
      <c r="C18" t="s">
        <v>41</v>
      </c>
      <c r="D18" t="s">
        <v>42</v>
      </c>
      <c r="E18" t="s">
        <v>22</v>
      </c>
      <c r="F18" t="s">
        <v>23</v>
      </c>
      <c r="G18" t="s">
        <v>24</v>
      </c>
      <c r="H18" t="s">
        <v>25</v>
      </c>
      <c r="I18" t="s">
        <v>41</v>
      </c>
      <c r="J18" t="s">
        <v>26</v>
      </c>
      <c r="K18">
        <v>1</v>
      </c>
      <c r="L18" t="s">
        <v>27</v>
      </c>
      <c r="M18" t="str">
        <f t="shared" si="0"/>
        <v>RailtonMakeR1None</v>
      </c>
      <c r="N18" t="str">
        <f t="shared" si="1"/>
        <v>RailtonStoreCL_STORECL</v>
      </c>
      <c r="O18">
        <f t="shared" si="2"/>
        <v>2</v>
      </c>
      <c r="P18" t="str">
        <f t="shared" si="3"/>
        <v>RailtonMakeCL</v>
      </c>
    </row>
    <row r="19" spans="1:16" x14ac:dyDescent="0.25">
      <c r="A19" cm="1">
        <f t="array" ref="A19">IF(ISNA(_xlfn.XLOOKUP(P19,$P$2:P18,$A$2:A18)),IF(COUNTIFS($P$2:P19,P19)=1,IF(COUNTIFS($C$2:C18,C19)=0,1,_xlfn.MAXIFS($A$2:A18,$C$2:C18,C19)+1),A18),_xlfn.XLOOKUP(P19,$P$2:P18,$A$2:A18))</f>
        <v>2</v>
      </c>
      <c r="B19" t="s">
        <v>19</v>
      </c>
      <c r="C19" t="s">
        <v>41</v>
      </c>
      <c r="D19" t="s">
        <v>26</v>
      </c>
      <c r="E19" t="s">
        <v>24</v>
      </c>
      <c r="F19" t="s">
        <v>25</v>
      </c>
      <c r="G19" t="s">
        <v>24</v>
      </c>
      <c r="H19" t="s">
        <v>23</v>
      </c>
      <c r="I19" t="s">
        <v>41</v>
      </c>
      <c r="J19" t="s">
        <v>43</v>
      </c>
      <c r="K19">
        <v>2</v>
      </c>
      <c r="L19" t="s">
        <v>27</v>
      </c>
      <c r="M19" t="str">
        <f t="shared" si="0"/>
        <v>RailtonStoreCL_STORECL</v>
      </c>
      <c r="N19" t="str">
        <f t="shared" si="1"/>
        <v>RailtonMakeCM4CL</v>
      </c>
      <c r="O19">
        <f t="shared" si="2"/>
        <v>2</v>
      </c>
      <c r="P19" t="str">
        <f t="shared" si="3"/>
        <v>RailtonStoreCL</v>
      </c>
    </row>
    <row r="20" spans="1:16" x14ac:dyDescent="0.25">
      <c r="A20" cm="1">
        <f t="array" ref="A20">IF(ISNA(_xlfn.XLOOKUP(P20,$P$2:P19,$A$2:A19)),IF(COUNTIFS($P$2:P20,P20)=1,IF(COUNTIFS($C$2:C19,C20)=0,1,_xlfn.MAXIFS($A$2:A19,$C$2:C19,C20)+1),A19),_xlfn.XLOOKUP(P20,$P$2:P19,$A$2:A19))</f>
        <v>2</v>
      </c>
      <c r="B20" t="s">
        <v>19</v>
      </c>
      <c r="C20" t="s">
        <v>41</v>
      </c>
      <c r="D20" t="s">
        <v>26</v>
      </c>
      <c r="E20" t="s">
        <v>24</v>
      </c>
      <c r="F20" t="s">
        <v>25</v>
      </c>
      <c r="G20" t="s">
        <v>24</v>
      </c>
      <c r="H20" t="s">
        <v>23</v>
      </c>
      <c r="I20" t="s">
        <v>41</v>
      </c>
      <c r="J20" t="s">
        <v>44</v>
      </c>
      <c r="K20">
        <v>2</v>
      </c>
      <c r="L20" t="s">
        <v>27</v>
      </c>
      <c r="M20" t="str">
        <f t="shared" si="0"/>
        <v>RailtonStoreCL_STORECL</v>
      </c>
      <c r="N20" t="str">
        <f t="shared" si="1"/>
        <v>RailtonMakeCM5CL</v>
      </c>
      <c r="O20">
        <f t="shared" si="2"/>
        <v>2</v>
      </c>
      <c r="P20" t="str">
        <f t="shared" si="3"/>
        <v>RailtonStoreCL</v>
      </c>
    </row>
    <row r="21" spans="1:16" x14ac:dyDescent="0.25">
      <c r="A21" cm="1">
        <f t="array" ref="A21">IF(ISNA(_xlfn.XLOOKUP(P21,$P$2:P20,$A$2:A20)),IF(COUNTIFS($P$2:P21,P21)=1,IF(COUNTIFS($C$2:C20,C21)=0,1,_xlfn.MAXIFS($A$2:A20,$C$2:C20,C21)+1),A20),_xlfn.XLOOKUP(P21,$P$2:P20,$A$2:A20))</f>
        <v>3</v>
      </c>
      <c r="B21" t="s">
        <v>19</v>
      </c>
      <c r="C21" t="s">
        <v>41</v>
      </c>
      <c r="D21" t="s">
        <v>43</v>
      </c>
      <c r="E21" t="s">
        <v>24</v>
      </c>
      <c r="F21" t="s">
        <v>23</v>
      </c>
      <c r="G21" t="s">
        <v>19</v>
      </c>
      <c r="H21" t="s">
        <v>25</v>
      </c>
      <c r="I21" t="s">
        <v>41</v>
      </c>
      <c r="J21" t="s">
        <v>185</v>
      </c>
      <c r="K21">
        <v>1</v>
      </c>
      <c r="L21" t="s">
        <v>27</v>
      </c>
      <c r="M21" t="str">
        <f t="shared" si="0"/>
        <v>RailtonMakeCM4CL</v>
      </c>
      <c r="N21" t="str">
        <f t="shared" si="1"/>
        <v>RailtonStoreGP_STORE_STGP</v>
      </c>
      <c r="O21">
        <f t="shared" si="2"/>
        <v>1</v>
      </c>
      <c r="P21" t="str">
        <f t="shared" si="3"/>
        <v>RailtonMakeGP</v>
      </c>
    </row>
    <row r="22" spans="1:16" x14ac:dyDescent="0.25">
      <c r="A22" cm="1">
        <f t="array" ref="A22">IF(ISNA(_xlfn.XLOOKUP(P22,$P$2:P21,$A$2:A21)),IF(COUNTIFS($P$2:P22,P22)=1,IF(COUNTIFS($C$2:C21,C22)=0,1,_xlfn.MAXIFS($A$2:A21,$C$2:C21,C22)+1),A21),_xlfn.XLOOKUP(P22,$P$2:P21,$A$2:A21))</f>
        <v>3</v>
      </c>
      <c r="B22" t="s">
        <v>19</v>
      </c>
      <c r="C22" t="s">
        <v>41</v>
      </c>
      <c r="D22" t="s">
        <v>44</v>
      </c>
      <c r="E22" t="s">
        <v>24</v>
      </c>
      <c r="F22" t="s">
        <v>23</v>
      </c>
      <c r="G22" t="s">
        <v>19</v>
      </c>
      <c r="H22" t="s">
        <v>25</v>
      </c>
      <c r="I22" t="s">
        <v>41</v>
      </c>
      <c r="J22" t="s">
        <v>185</v>
      </c>
      <c r="K22">
        <v>1</v>
      </c>
      <c r="L22" t="s">
        <v>27</v>
      </c>
      <c r="M22" t="str">
        <f t="shared" si="0"/>
        <v>RailtonMakeCM5CL</v>
      </c>
      <c r="N22" t="str">
        <f t="shared" si="1"/>
        <v>RailtonStoreGP_STORE_STGP</v>
      </c>
      <c r="O22">
        <f t="shared" si="2"/>
        <v>1</v>
      </c>
      <c r="P22" t="str">
        <f t="shared" si="3"/>
        <v>RailtonMakeGP</v>
      </c>
    </row>
    <row r="23" spans="1:16" x14ac:dyDescent="0.25">
      <c r="A23" cm="1">
        <f t="array" ref="A23">IF(ISNA(_xlfn.XLOOKUP(P23,$P$2:P22,$A$2:A22)),IF(COUNTIFS($P$2:P23,P23)=1,IF(COUNTIFS($C$2:C22,C23)=0,1,_xlfn.MAXIFS($A$2:A22,$C$2:C22,C23)+1),A22),_xlfn.XLOOKUP(P23,$P$2:P22,$A$2:A22))</f>
        <v>3</v>
      </c>
      <c r="B23" t="s">
        <v>19</v>
      </c>
      <c r="C23" t="s">
        <v>41</v>
      </c>
      <c r="D23" t="s">
        <v>43</v>
      </c>
      <c r="E23" t="s">
        <v>24</v>
      </c>
      <c r="F23" t="s">
        <v>23</v>
      </c>
      <c r="G23" t="s">
        <v>19</v>
      </c>
      <c r="H23" t="s">
        <v>25</v>
      </c>
      <c r="I23" t="s">
        <v>41</v>
      </c>
      <c r="J23" t="s">
        <v>186</v>
      </c>
      <c r="K23">
        <v>1</v>
      </c>
      <c r="L23" t="s">
        <v>27</v>
      </c>
      <c r="M23" t="str">
        <f t="shared" si="0"/>
        <v>RailtonMakeCM4CL</v>
      </c>
      <c r="N23" t="str">
        <f t="shared" si="1"/>
        <v>RailtonStoreGP_STORE_QGP</v>
      </c>
      <c r="O23">
        <f t="shared" si="2"/>
        <v>1</v>
      </c>
      <c r="P23" t="str">
        <f t="shared" si="3"/>
        <v>RailtonMakeGP</v>
      </c>
    </row>
    <row r="24" spans="1:16" x14ac:dyDescent="0.25">
      <c r="A24" cm="1">
        <f t="array" ref="A24">IF(ISNA(_xlfn.XLOOKUP(P24,$P$2:P23,$A$2:A23)),IF(COUNTIFS($P$2:P24,P24)=1,IF(COUNTIFS($C$2:C23,C24)=0,1,_xlfn.MAXIFS($A$2:A23,$C$2:C23,C24)+1),A23),_xlfn.XLOOKUP(P24,$P$2:P23,$A$2:A23))</f>
        <v>3</v>
      </c>
      <c r="B24" t="s">
        <v>19</v>
      </c>
      <c r="C24" t="s">
        <v>41</v>
      </c>
      <c r="D24" t="s">
        <v>44</v>
      </c>
      <c r="E24" t="s">
        <v>24</v>
      </c>
      <c r="F24" t="s">
        <v>23</v>
      </c>
      <c r="G24" t="s">
        <v>19</v>
      </c>
      <c r="H24" t="s">
        <v>25</v>
      </c>
      <c r="I24" t="s">
        <v>41</v>
      </c>
      <c r="J24" t="s">
        <v>186</v>
      </c>
      <c r="K24">
        <v>1</v>
      </c>
      <c r="L24" t="s">
        <v>27</v>
      </c>
      <c r="M24" t="str">
        <f t="shared" si="0"/>
        <v>RailtonMakeCM5CL</v>
      </c>
      <c r="N24" t="str">
        <f t="shared" si="1"/>
        <v>RailtonStoreGP_STORE_QGP</v>
      </c>
      <c r="O24">
        <f t="shared" si="2"/>
        <v>1</v>
      </c>
      <c r="P24" t="str">
        <f t="shared" si="3"/>
        <v>RailtonMakeGP</v>
      </c>
    </row>
    <row r="25" spans="1:16" x14ac:dyDescent="0.25">
      <c r="A25" cm="1">
        <f t="array" ref="A25">IF(ISNA(_xlfn.XLOOKUP(P25,$P$2:P24,$A$2:A24)),IF(COUNTIFS($P$2:P25,P25)=1,IF(COUNTIFS($C$2:C24,C25)=0,1,_xlfn.MAXIFS($A$2:A24,$C$2:C24,C25)+1),A24),_xlfn.XLOOKUP(P25,$P$2:P24,$A$2:A24))</f>
        <v>4</v>
      </c>
      <c r="B25" t="s">
        <v>19</v>
      </c>
      <c r="C25" t="s">
        <v>41</v>
      </c>
      <c r="D25" t="s">
        <v>186</v>
      </c>
      <c r="E25" t="s">
        <v>19</v>
      </c>
      <c r="F25" t="s">
        <v>25</v>
      </c>
      <c r="G25" t="s">
        <v>19</v>
      </c>
      <c r="H25" t="s">
        <v>35</v>
      </c>
      <c r="I25" t="s">
        <v>41</v>
      </c>
      <c r="J25" t="s">
        <v>36</v>
      </c>
      <c r="K25">
        <v>2</v>
      </c>
      <c r="L25" t="s">
        <v>27</v>
      </c>
      <c r="M25" t="str">
        <f t="shared" si="0"/>
        <v>RailtonStoreGP_STORE_QGP</v>
      </c>
      <c r="N25" t="str">
        <f t="shared" si="1"/>
        <v>RailtonDeliverTRUCKGP</v>
      </c>
      <c r="O25">
        <f t="shared" si="2"/>
        <v>1</v>
      </c>
      <c r="P25" t="str">
        <f t="shared" si="3"/>
        <v>RailtonStoreGP</v>
      </c>
    </row>
    <row r="26" spans="1:16" x14ac:dyDescent="0.25">
      <c r="A26" cm="1">
        <f t="array" ref="A26">IF(ISNA(_xlfn.XLOOKUP(P26,$P$2:P25,$A$2:A25)),IF(COUNTIFS($P$2:P26,P26)=1,IF(COUNTIFS($C$2:C25,C26)=0,1,_xlfn.MAXIFS($A$2:A25,$C$2:C25,C26)+1),A25),_xlfn.XLOOKUP(P26,$P$2:P25,$A$2:A25))</f>
        <v>4</v>
      </c>
      <c r="B26" t="s">
        <v>19</v>
      </c>
      <c r="C26" t="s">
        <v>41</v>
      </c>
      <c r="D26" t="s">
        <v>185</v>
      </c>
      <c r="E26" t="s">
        <v>19</v>
      </c>
      <c r="F26" t="s">
        <v>25</v>
      </c>
      <c r="G26" t="s">
        <v>19</v>
      </c>
      <c r="H26" t="s">
        <v>28</v>
      </c>
      <c r="I26" t="s">
        <v>41</v>
      </c>
      <c r="J26" t="s">
        <v>34</v>
      </c>
      <c r="K26">
        <v>2</v>
      </c>
      <c r="L26" t="s">
        <v>27</v>
      </c>
      <c r="M26" t="str">
        <f t="shared" si="0"/>
        <v>RailtonStoreGP_STORE_STGP</v>
      </c>
      <c r="N26" t="str">
        <f t="shared" si="1"/>
        <v>RailtonMoveTRAINGP</v>
      </c>
      <c r="O26">
        <f t="shared" si="2"/>
        <v>1</v>
      </c>
      <c r="P26" t="str">
        <f t="shared" si="3"/>
        <v>RailtonStoreGP</v>
      </c>
    </row>
    <row r="27" spans="1:16" x14ac:dyDescent="0.25">
      <c r="A27" cm="1">
        <f t="array" ref="A27">IF(ISNA(_xlfn.XLOOKUP(P27,$P$2:P26,$A$2:A26)),IF(COUNTIFS($P$2:P27,P27)=1,IF(COUNTIFS($C$2:C26,C27)=0,1,_xlfn.MAXIFS($A$2:A26,$C$2:C26,C27)+1),A26),_xlfn.XLOOKUP(P27,$P$2:P26,$A$2:A26))</f>
        <v>5</v>
      </c>
      <c r="B27" t="s">
        <v>19</v>
      </c>
      <c r="C27" t="s">
        <v>41</v>
      </c>
      <c r="D27" t="s">
        <v>34</v>
      </c>
      <c r="E27" t="s">
        <v>19</v>
      </c>
      <c r="F27" t="s">
        <v>28</v>
      </c>
      <c r="G27" t="s">
        <v>19</v>
      </c>
      <c r="H27" t="s">
        <v>25</v>
      </c>
      <c r="I27" t="s">
        <v>98</v>
      </c>
      <c r="J27" t="s">
        <v>33</v>
      </c>
      <c r="K27">
        <v>3</v>
      </c>
      <c r="L27" t="s">
        <v>27</v>
      </c>
      <c r="M27" t="str">
        <f t="shared" si="0"/>
        <v>RailtonMoveTRAINGP</v>
      </c>
      <c r="N27" t="str">
        <f t="shared" si="1"/>
        <v>DevonportStoreGP_STOREGP</v>
      </c>
      <c r="O27">
        <f t="shared" si="2"/>
        <v>1</v>
      </c>
      <c r="P27" t="str">
        <f t="shared" si="3"/>
        <v>RailtonMoveGP</v>
      </c>
    </row>
    <row r="28" spans="1:16" x14ac:dyDescent="0.25">
      <c r="A28" s="1">
        <v>5</v>
      </c>
      <c r="B28" t="s">
        <v>19</v>
      </c>
      <c r="C28" t="s">
        <v>41</v>
      </c>
      <c r="D28" t="s">
        <v>36</v>
      </c>
      <c r="E28" t="s">
        <v>19</v>
      </c>
      <c r="F28" t="s">
        <v>35</v>
      </c>
      <c r="G28" t="s">
        <v>19</v>
      </c>
      <c r="K28">
        <v>4</v>
      </c>
      <c r="L28" t="s">
        <v>27</v>
      </c>
      <c r="M28" t="str">
        <f t="shared" si="0"/>
        <v>RailtonDeliverTRUCKGP</v>
      </c>
      <c r="N28" t="str">
        <f t="shared" si="1"/>
        <v>GP</v>
      </c>
      <c r="O28">
        <f t="shared" si="2"/>
        <v>0</v>
      </c>
      <c r="P28" t="str">
        <f t="shared" si="3"/>
        <v>RailtonDeliverGP</v>
      </c>
    </row>
    <row r="29" spans="1:16" x14ac:dyDescent="0.25">
      <c r="A29" cm="1">
        <f t="array" ref="A29">IF(ISNA(_xlfn.XLOOKUP(P29,$P$2:P28,$A$2:A28)),IF(COUNTIFS($P$2:P29,P29)=1,IF(COUNTIFS($C$2:C28,C29)=0,1,_xlfn.MAXIFS($A$2:A28,$C$2:C28,C29)+1),A28),_xlfn.XLOOKUP(P29,$P$2:P28,$A$2:A28))</f>
        <v>1</v>
      </c>
      <c r="B29" t="s">
        <v>19</v>
      </c>
      <c r="C29" t="s">
        <v>98</v>
      </c>
      <c r="D29" t="s">
        <v>33</v>
      </c>
      <c r="E29" t="s">
        <v>19</v>
      </c>
      <c r="F29" t="s">
        <v>25</v>
      </c>
      <c r="G29" t="s">
        <v>19</v>
      </c>
      <c r="H29" t="s">
        <v>28</v>
      </c>
      <c r="I29" t="s">
        <v>98</v>
      </c>
      <c r="J29" t="s">
        <v>29</v>
      </c>
      <c r="K29">
        <v>2</v>
      </c>
      <c r="L29" t="s">
        <v>27</v>
      </c>
      <c r="M29" t="str">
        <f t="shared" si="0"/>
        <v>DevonportStoreGP_STOREGP</v>
      </c>
      <c r="N29" t="str">
        <f t="shared" si="1"/>
        <v>DevonportMoveSHIPGP</v>
      </c>
      <c r="O29">
        <f t="shared" si="2"/>
        <v>3</v>
      </c>
      <c r="P29" t="str">
        <f t="shared" si="3"/>
        <v>DevonportStoreGP</v>
      </c>
    </row>
    <row r="30" spans="1:16" x14ac:dyDescent="0.25">
      <c r="A30" cm="1">
        <f t="array" ref="A30">IF(ISNA(_xlfn.XLOOKUP(P30,$P$2:P29,$A$2:A29)),IF(COUNTIFS($P$2:P30,P30)=1,IF(COUNTIFS($C$2:C29,C30)=0,1,_xlfn.MAXIFS($A$2:A29,$C$2:C29,C30)+1),A29),_xlfn.XLOOKUP(P30,$P$2:P29,$A$2:A29))</f>
        <v>2</v>
      </c>
      <c r="B30" t="s">
        <v>19</v>
      </c>
      <c r="C30" t="s">
        <v>98</v>
      </c>
      <c r="D30" t="s">
        <v>29</v>
      </c>
      <c r="E30" t="s">
        <v>19</v>
      </c>
      <c r="F30" t="s">
        <v>28</v>
      </c>
      <c r="G30" t="s">
        <v>19</v>
      </c>
      <c r="H30" t="s">
        <v>25</v>
      </c>
      <c r="I30" t="s">
        <v>45</v>
      </c>
      <c r="J30" t="s">
        <v>33</v>
      </c>
      <c r="K30">
        <v>3</v>
      </c>
      <c r="L30" t="s">
        <v>27</v>
      </c>
      <c r="M30" t="str">
        <f t="shared" si="0"/>
        <v>DevonportMoveSHIPGP</v>
      </c>
      <c r="N30" t="str">
        <f t="shared" si="1"/>
        <v>MelbourneStoreGP_STOREGP</v>
      </c>
      <c r="O30">
        <f t="shared" si="2"/>
        <v>1</v>
      </c>
      <c r="P30" t="str">
        <f t="shared" si="3"/>
        <v>DevonportMoveGP</v>
      </c>
    </row>
    <row r="31" spans="1:16" x14ac:dyDescent="0.25">
      <c r="A31" cm="1">
        <f t="array" ref="A31">IF(ISNA(_xlfn.XLOOKUP(P31,$P$2:P30,$A$2:A30)),IF(COUNTIFS($P$2:P31,P31)=1,IF(COUNTIFS($C$2:C30,C31)=0,1,_xlfn.MAXIFS($A$2:A30,$C$2:C30,C31)+1),A30),_xlfn.XLOOKUP(P31,$P$2:P30,$A$2:A30))</f>
        <v>2</v>
      </c>
      <c r="B31" t="s">
        <v>19</v>
      </c>
      <c r="C31" t="s">
        <v>98</v>
      </c>
      <c r="D31" t="s">
        <v>29</v>
      </c>
      <c r="E31" t="s">
        <v>19</v>
      </c>
      <c r="F31" t="s">
        <v>28</v>
      </c>
      <c r="G31" t="s">
        <v>19</v>
      </c>
      <c r="H31" t="s">
        <v>25</v>
      </c>
      <c r="I31" t="s">
        <v>46</v>
      </c>
      <c r="J31" t="s">
        <v>33</v>
      </c>
      <c r="K31">
        <v>3</v>
      </c>
      <c r="L31" t="s">
        <v>27</v>
      </c>
      <c r="M31" t="str">
        <f t="shared" si="0"/>
        <v>DevonportMoveSHIPGP</v>
      </c>
      <c r="N31" t="str">
        <f t="shared" si="1"/>
        <v>OsbornStoreGP_STOREGP</v>
      </c>
      <c r="O31">
        <f t="shared" si="2"/>
        <v>1</v>
      </c>
      <c r="P31" t="str">
        <f t="shared" si="3"/>
        <v>DevonportMoveGP</v>
      </c>
    </row>
    <row r="32" spans="1:16" x14ac:dyDescent="0.25">
      <c r="A32" cm="1">
        <f t="array" ref="A32">IF(ISNA(_xlfn.XLOOKUP(P32,$P$2:P31,$A$2:A31)),IF(COUNTIFS($P$2:P32,P32)=1,IF(COUNTIFS($C$2:C31,C32)=0,1,_xlfn.MAXIFS($A$2:A31,$C$2:C31,C32)+1),A31),_xlfn.XLOOKUP(P32,$P$2:P31,$A$2:A31))</f>
        <v>2</v>
      </c>
      <c r="B32" t="s">
        <v>19</v>
      </c>
      <c r="C32" t="s">
        <v>98</v>
      </c>
      <c r="D32" t="s">
        <v>29</v>
      </c>
      <c r="E32" t="s">
        <v>19</v>
      </c>
      <c r="F32" t="s">
        <v>28</v>
      </c>
      <c r="G32" t="s">
        <v>19</v>
      </c>
      <c r="H32" t="s">
        <v>25</v>
      </c>
      <c r="I32" t="s">
        <v>39</v>
      </c>
      <c r="J32" t="s">
        <v>33</v>
      </c>
      <c r="K32">
        <v>3</v>
      </c>
      <c r="L32" t="s">
        <v>27</v>
      </c>
      <c r="M32" t="str">
        <f t="shared" si="0"/>
        <v>DevonportMoveSHIPGP</v>
      </c>
      <c r="N32" t="str">
        <f t="shared" si="1"/>
        <v>NewcastleStoreGP_STOREGP</v>
      </c>
      <c r="O32">
        <f t="shared" si="2"/>
        <v>1</v>
      </c>
      <c r="P32" t="str">
        <f t="shared" si="3"/>
        <v>DevonportMoveGP</v>
      </c>
    </row>
    <row r="33" spans="1:16" x14ac:dyDescent="0.25">
      <c r="A33" cm="1">
        <f t="array" ref="A33">IF(ISNA(_xlfn.XLOOKUP(P33,$P$2:P32,$A$2:A32)),IF(COUNTIFS($P$2:P33,P33)=1,IF(COUNTIFS($C$2:C32,C33)=0,1,_xlfn.MAXIFS($A$2:A32,$C$2:C32,C33)+1),A32),_xlfn.XLOOKUP(P33,$P$2:P32,$A$2:A32))</f>
        <v>1</v>
      </c>
      <c r="B33" t="s">
        <v>19</v>
      </c>
      <c r="C33" t="s">
        <v>47</v>
      </c>
      <c r="D33" t="s">
        <v>26</v>
      </c>
      <c r="E33" t="s">
        <v>24</v>
      </c>
      <c r="F33" t="s">
        <v>25</v>
      </c>
      <c r="G33" t="s">
        <v>24</v>
      </c>
      <c r="H33" t="s">
        <v>28</v>
      </c>
      <c r="I33" t="s">
        <v>47</v>
      </c>
      <c r="J33" t="s">
        <v>29</v>
      </c>
      <c r="K33">
        <v>2</v>
      </c>
      <c r="L33" t="s">
        <v>27</v>
      </c>
      <c r="M33" t="str">
        <f t="shared" si="0"/>
        <v>ImportStoreCL_STORECL</v>
      </c>
      <c r="N33" t="str">
        <f t="shared" si="1"/>
        <v>ImportMoveSHIPCL</v>
      </c>
      <c r="O33">
        <f t="shared" si="2"/>
        <v>2</v>
      </c>
      <c r="P33" t="str">
        <f t="shared" si="3"/>
        <v>ImportStoreCL</v>
      </c>
    </row>
    <row r="34" spans="1:16" x14ac:dyDescent="0.25">
      <c r="A34" cm="1">
        <f t="array" ref="A34">IF(ISNA(_xlfn.XLOOKUP(P34,$P$2:P33,$A$2:A33)),IF(COUNTIFS($P$2:P34,P34)=1,IF(COUNTIFS($C$2:C33,C34)=0,1,_xlfn.MAXIFS($A$2:A33,$C$2:C33,C34)+1),A33),_xlfn.XLOOKUP(P34,$P$2:P33,$A$2:A33))</f>
        <v>2</v>
      </c>
      <c r="B34" t="s">
        <v>19</v>
      </c>
      <c r="C34" t="s">
        <v>47</v>
      </c>
      <c r="D34" t="s">
        <v>29</v>
      </c>
      <c r="E34" t="s">
        <v>24</v>
      </c>
      <c r="F34" t="s">
        <v>28</v>
      </c>
      <c r="G34" t="s">
        <v>24</v>
      </c>
      <c r="H34" t="s">
        <v>25</v>
      </c>
      <c r="I34" t="s">
        <v>38</v>
      </c>
      <c r="J34" t="s">
        <v>48</v>
      </c>
      <c r="K34">
        <v>3</v>
      </c>
      <c r="M34" t="str">
        <f t="shared" ref="M34:M67" si="4">C34&amp;F34&amp;D34&amp;E34</f>
        <v>ImportMoveSHIPCL</v>
      </c>
      <c r="N34" t="str">
        <f t="shared" ref="N34:N64" si="5">I34&amp;H34&amp;J34&amp;G34</f>
        <v>Port KemblaStoreCL_STORE_ICL</v>
      </c>
      <c r="O34">
        <f t="shared" ref="O34:O64" si="6">COUNTIFS(M:M,N34)</f>
        <v>1</v>
      </c>
      <c r="P34" t="str">
        <f t="shared" ref="P34:P67" si="7">C34&amp;F34&amp;G34</f>
        <v>ImportMoveCL</v>
      </c>
    </row>
    <row r="35" spans="1:16" x14ac:dyDescent="0.25">
      <c r="A35" cm="1">
        <f t="array" ref="A35">IF(ISNA(_xlfn.XLOOKUP(P35,$P$2:P34,$A$2:A34)),IF(COUNTIFS($P$2:P35,P35)=1,IF(COUNTIFS($C$2:C34,C35)=0,1,_xlfn.MAXIFS($A$2:A34,$C$2:C34,C35)+1),A34),_xlfn.XLOOKUP(P35,$P$2:P34,$A$2:A34))</f>
        <v>2</v>
      </c>
      <c r="B35" t="s">
        <v>19</v>
      </c>
      <c r="C35" t="s">
        <v>47</v>
      </c>
      <c r="D35" t="s">
        <v>29</v>
      </c>
      <c r="E35" t="s">
        <v>24</v>
      </c>
      <c r="F35" t="s">
        <v>28</v>
      </c>
      <c r="G35" t="s">
        <v>24</v>
      </c>
      <c r="H35" t="s">
        <v>25</v>
      </c>
      <c r="I35" t="s">
        <v>30</v>
      </c>
      <c r="J35" t="s">
        <v>48</v>
      </c>
      <c r="K35">
        <v>3</v>
      </c>
      <c r="M35" t="str">
        <f t="shared" si="4"/>
        <v>ImportMoveSHIPCL</v>
      </c>
      <c r="N35" t="str">
        <f t="shared" si="5"/>
        <v>Bulwer IslandStoreCL_STORE_ICL</v>
      </c>
      <c r="O35">
        <f t="shared" si="6"/>
        <v>2</v>
      </c>
      <c r="P35" t="str">
        <f t="shared" si="7"/>
        <v>ImportMoveCL</v>
      </c>
    </row>
    <row r="36" spans="1:16" x14ac:dyDescent="0.25">
      <c r="A36" cm="1">
        <f t="array" ref="A36">IF(ISNA(_xlfn.XLOOKUP(P36,$P$2:P35,$A$2:A35)),IF(COUNTIFS($P$2:P36,P36)=1,IF(COUNTIFS($C$2:C35,C36)=0,1,_xlfn.MAXIFS($A$2:A35,$C$2:C35,C36)+1),A35),_xlfn.XLOOKUP(P36,$P$2:P35,$A$2:A35))</f>
        <v>1</v>
      </c>
      <c r="B36" t="s">
        <v>19</v>
      </c>
      <c r="C36" t="s">
        <v>30</v>
      </c>
      <c r="D36" t="s">
        <v>26</v>
      </c>
      <c r="E36" t="s">
        <v>24</v>
      </c>
      <c r="F36" t="s">
        <v>25</v>
      </c>
      <c r="G36" t="s">
        <v>24</v>
      </c>
      <c r="H36" t="s">
        <v>23</v>
      </c>
      <c r="I36" t="s">
        <v>30</v>
      </c>
      <c r="J36" t="s">
        <v>49</v>
      </c>
      <c r="K36">
        <v>2</v>
      </c>
      <c r="M36" t="str">
        <f t="shared" si="4"/>
        <v>Bulwer IslandStoreCL_STORECL</v>
      </c>
      <c r="N36" t="str">
        <f t="shared" si="5"/>
        <v>Bulwer IslandMakeCM10CL</v>
      </c>
      <c r="O36">
        <f t="shared" si="6"/>
        <v>1</v>
      </c>
      <c r="P36" t="str">
        <f t="shared" si="7"/>
        <v>Bulwer IslandStoreCL</v>
      </c>
    </row>
    <row r="37" spans="1:16" x14ac:dyDescent="0.25">
      <c r="A37" cm="1">
        <f t="array" ref="A37">IF(ISNA(_xlfn.XLOOKUP(P37,$P$2:P36,$A$2:A36)),IF(COUNTIFS($P$2:P37,P37)=1,IF(COUNTIFS($C$2:C36,C37)=0,1,_xlfn.MAXIFS($A$2:A36,$C$2:C36,C37)+1),A36),_xlfn.XLOOKUP(P37,$P$2:P36,$A$2:A36))</f>
        <v>1</v>
      </c>
      <c r="B37" t="s">
        <v>19</v>
      </c>
      <c r="C37" t="s">
        <v>30</v>
      </c>
      <c r="D37" t="s">
        <v>26</v>
      </c>
      <c r="E37" t="s">
        <v>24</v>
      </c>
      <c r="F37" t="s">
        <v>25</v>
      </c>
      <c r="G37" t="s">
        <v>24</v>
      </c>
      <c r="H37" t="s">
        <v>23</v>
      </c>
      <c r="I37" t="s">
        <v>30</v>
      </c>
      <c r="J37" t="s">
        <v>50</v>
      </c>
      <c r="K37">
        <v>2</v>
      </c>
      <c r="M37" t="str">
        <f t="shared" si="4"/>
        <v>Bulwer IslandStoreCL_STORECL</v>
      </c>
      <c r="N37" t="str">
        <f t="shared" si="5"/>
        <v>Bulwer IslandMakeCM11CL</v>
      </c>
      <c r="O37">
        <f t="shared" si="6"/>
        <v>1</v>
      </c>
      <c r="P37" t="str">
        <f t="shared" si="7"/>
        <v>Bulwer IslandStoreCL</v>
      </c>
    </row>
    <row r="38" spans="1:16" x14ac:dyDescent="0.25">
      <c r="A38" cm="1">
        <f t="array" ref="A38">IF(ISNA(_xlfn.XLOOKUP(P38,$P$2:P37,$A$2:A37)),IF(COUNTIFS($P$2:P38,P38)=1,IF(COUNTIFS($C$2:C37,C38)=0,1,_xlfn.MAXIFS($A$2:A37,$C$2:C37,C38)+1),A37),_xlfn.XLOOKUP(P38,$P$2:P37,$A$2:A37))</f>
        <v>1</v>
      </c>
      <c r="B38" t="s">
        <v>19</v>
      </c>
      <c r="C38" t="s">
        <v>30</v>
      </c>
      <c r="D38" t="s">
        <v>48</v>
      </c>
      <c r="E38" t="s">
        <v>24</v>
      </c>
      <c r="F38" t="s">
        <v>25</v>
      </c>
      <c r="G38" t="s">
        <v>24</v>
      </c>
      <c r="H38" t="s">
        <v>23</v>
      </c>
      <c r="I38" t="s">
        <v>30</v>
      </c>
      <c r="J38" t="s">
        <v>49</v>
      </c>
      <c r="K38">
        <v>2</v>
      </c>
      <c r="L38" t="s">
        <v>27</v>
      </c>
      <c r="M38" t="str">
        <f t="shared" si="4"/>
        <v>Bulwer IslandStoreCL_STORE_ICL</v>
      </c>
      <c r="N38" t="str">
        <f t="shared" si="5"/>
        <v>Bulwer IslandMakeCM10CL</v>
      </c>
      <c r="O38">
        <f t="shared" si="6"/>
        <v>1</v>
      </c>
      <c r="P38" t="str">
        <f t="shared" si="7"/>
        <v>Bulwer IslandStoreCL</v>
      </c>
    </row>
    <row r="39" spans="1:16" x14ac:dyDescent="0.25">
      <c r="A39" cm="1">
        <f t="array" ref="A39">IF(ISNA(_xlfn.XLOOKUP(P39,$P$2:P38,$A$2:A38)),IF(COUNTIFS($P$2:P39,P39)=1,IF(COUNTIFS($C$2:C38,C39)=0,1,_xlfn.MAXIFS($A$2:A38,$C$2:C38,C39)+1),A38),_xlfn.XLOOKUP(P39,$P$2:P38,$A$2:A38))</f>
        <v>1</v>
      </c>
      <c r="B39" t="s">
        <v>19</v>
      </c>
      <c r="C39" t="s">
        <v>30</v>
      </c>
      <c r="D39" t="s">
        <v>48</v>
      </c>
      <c r="E39" t="s">
        <v>24</v>
      </c>
      <c r="F39" t="s">
        <v>25</v>
      </c>
      <c r="G39" t="s">
        <v>24</v>
      </c>
      <c r="H39" t="s">
        <v>23</v>
      </c>
      <c r="I39" t="s">
        <v>30</v>
      </c>
      <c r="J39" t="s">
        <v>50</v>
      </c>
      <c r="K39">
        <v>2</v>
      </c>
      <c r="L39" t="s">
        <v>27</v>
      </c>
      <c r="M39" t="str">
        <f t="shared" si="4"/>
        <v>Bulwer IslandStoreCL_STORE_ICL</v>
      </c>
      <c r="N39" t="str">
        <f t="shared" si="5"/>
        <v>Bulwer IslandMakeCM11CL</v>
      </c>
      <c r="O39">
        <f t="shared" si="6"/>
        <v>1</v>
      </c>
      <c r="P39" t="str">
        <f t="shared" si="7"/>
        <v>Bulwer IslandStoreCL</v>
      </c>
    </row>
    <row r="40" spans="1:16" x14ac:dyDescent="0.25">
      <c r="A40" cm="1">
        <f t="array" ref="A40">IF(ISNA(_xlfn.XLOOKUP(P40,$P$2:P39,$A$2:A39)),IF(COUNTIFS($P$2:P40,P40)=1,IF(COUNTIFS($C$2:C39,C40)=0,1,_xlfn.MAXIFS($A$2:A39,$C$2:C39,C40)+1),A39),_xlfn.XLOOKUP(P40,$P$2:P39,$A$2:A39))</f>
        <v>2</v>
      </c>
      <c r="B40" t="s">
        <v>19</v>
      </c>
      <c r="C40" t="s">
        <v>30</v>
      </c>
      <c r="D40" t="s">
        <v>49</v>
      </c>
      <c r="E40" t="s">
        <v>24</v>
      </c>
      <c r="F40" t="s">
        <v>23</v>
      </c>
      <c r="G40" t="s">
        <v>19</v>
      </c>
      <c r="H40" t="s">
        <v>25</v>
      </c>
      <c r="I40" t="s">
        <v>30</v>
      </c>
      <c r="J40" t="s">
        <v>33</v>
      </c>
      <c r="K40">
        <v>1</v>
      </c>
      <c r="M40" t="str">
        <f t="shared" si="4"/>
        <v>Bulwer IslandMakeCM10CL</v>
      </c>
      <c r="N40" t="str">
        <f t="shared" si="5"/>
        <v>Bulwer IslandStoreGP_STOREGP</v>
      </c>
      <c r="O40">
        <f t="shared" si="6"/>
        <v>1</v>
      </c>
      <c r="P40" t="str">
        <f t="shared" si="7"/>
        <v>Bulwer IslandMakeGP</v>
      </c>
    </row>
    <row r="41" spans="1:16" x14ac:dyDescent="0.25">
      <c r="A41" cm="1">
        <f t="array" ref="A41">IF(ISNA(_xlfn.XLOOKUP(P41,$P$2:P40,$A$2:A40)),IF(COUNTIFS($P$2:P41,P41)=1,IF(COUNTIFS($C$2:C40,C41)=0,1,_xlfn.MAXIFS($A$2:A40,$C$2:C40,C41)+1),A40),_xlfn.XLOOKUP(P41,$P$2:P40,$A$2:A40))</f>
        <v>2</v>
      </c>
      <c r="B41" t="s">
        <v>19</v>
      </c>
      <c r="C41" t="s">
        <v>30</v>
      </c>
      <c r="D41" t="s">
        <v>50</v>
      </c>
      <c r="E41" t="s">
        <v>24</v>
      </c>
      <c r="F41" t="s">
        <v>23</v>
      </c>
      <c r="G41" t="s">
        <v>19</v>
      </c>
      <c r="H41" t="s">
        <v>25</v>
      </c>
      <c r="I41" t="s">
        <v>30</v>
      </c>
      <c r="J41" t="s">
        <v>33</v>
      </c>
      <c r="K41">
        <v>1</v>
      </c>
      <c r="L41" t="s">
        <v>27</v>
      </c>
      <c r="M41" t="str">
        <f t="shared" si="4"/>
        <v>Bulwer IslandMakeCM11CL</v>
      </c>
      <c r="N41" t="str">
        <f t="shared" si="5"/>
        <v>Bulwer IslandStoreGP_STOREGP</v>
      </c>
      <c r="O41">
        <f t="shared" si="6"/>
        <v>1</v>
      </c>
      <c r="P41" t="str">
        <f t="shared" si="7"/>
        <v>Bulwer IslandMakeGP</v>
      </c>
    </row>
    <row r="42" spans="1:16" x14ac:dyDescent="0.25">
      <c r="A42" cm="1">
        <f t="array" ref="A42">IF(ISNA(_xlfn.XLOOKUP(P42,$P$2:P41,$A$2:A41)),IF(COUNTIFS($P$2:P42,P42)=1,IF(COUNTIFS($C$2:C41,C42)=0,1,_xlfn.MAXIFS($A$2:A41,$C$2:C41,C42)+1),A41),_xlfn.XLOOKUP(P42,$P$2:P41,$A$2:A41))</f>
        <v>3</v>
      </c>
      <c r="B42" t="s">
        <v>19</v>
      </c>
      <c r="C42" t="s">
        <v>30</v>
      </c>
      <c r="D42" t="s">
        <v>33</v>
      </c>
      <c r="E42" t="s">
        <v>19</v>
      </c>
      <c r="F42" t="s">
        <v>25</v>
      </c>
      <c r="G42" t="s">
        <v>19</v>
      </c>
      <c r="H42" t="s">
        <v>35</v>
      </c>
      <c r="I42" t="s">
        <v>30</v>
      </c>
      <c r="J42" t="s">
        <v>36</v>
      </c>
      <c r="K42">
        <v>2</v>
      </c>
      <c r="L42" t="s">
        <v>27</v>
      </c>
      <c r="M42" t="str">
        <f t="shared" si="4"/>
        <v>Bulwer IslandStoreGP_STOREGP</v>
      </c>
      <c r="N42" t="str">
        <f t="shared" si="5"/>
        <v>Bulwer IslandDeliverTRUCKGP</v>
      </c>
      <c r="O42">
        <f t="shared" si="6"/>
        <v>1</v>
      </c>
      <c r="P42" t="str">
        <f t="shared" si="7"/>
        <v>Bulwer IslandStoreGP</v>
      </c>
    </row>
    <row r="43" spans="1:16" x14ac:dyDescent="0.25">
      <c r="A43" cm="1">
        <f t="array" ref="A43">IF(ISNA(_xlfn.XLOOKUP(P43,$P$2:P42,$A$2:A42)),IF(COUNTIFS($P$2:P43,P43)=1,IF(COUNTIFS($C$2:C42,C43)=0,1,_xlfn.MAXIFS($A$2:A42,$C$2:C42,C43)+1),A42),_xlfn.XLOOKUP(P43,$P$2:P42,$A$2:A42))</f>
        <v>4</v>
      </c>
      <c r="B43" t="s">
        <v>19</v>
      </c>
      <c r="C43" t="s">
        <v>30</v>
      </c>
      <c r="D43" t="s">
        <v>36</v>
      </c>
      <c r="E43" t="s">
        <v>19</v>
      </c>
      <c r="F43" t="s">
        <v>35</v>
      </c>
      <c r="G43" t="s">
        <v>19</v>
      </c>
      <c r="K43">
        <v>4</v>
      </c>
      <c r="L43" t="s">
        <v>27</v>
      </c>
      <c r="M43" t="str">
        <f t="shared" si="4"/>
        <v>Bulwer IslandDeliverTRUCKGP</v>
      </c>
      <c r="N43" t="str">
        <f t="shared" si="5"/>
        <v>GP</v>
      </c>
      <c r="O43">
        <f t="shared" si="6"/>
        <v>0</v>
      </c>
      <c r="P43" t="str">
        <f t="shared" si="7"/>
        <v>Bulwer IslandDeliverGP</v>
      </c>
    </row>
    <row r="44" spans="1:16" x14ac:dyDescent="0.25">
      <c r="A44" cm="1">
        <f t="array" ref="A44">IF(ISNA(_xlfn.XLOOKUP(P44,$P$2:P43,$A$2:A43)),IF(COUNTIFS($P$2:P44,P44)=1,IF(COUNTIFS($C$2:C43,C44)=0,1,_xlfn.MAXIFS($A$2:A43,$C$2:C43,C44)+1),A43),_xlfn.XLOOKUP(P44,$P$2:P43,$A$2:A43))</f>
        <v>1</v>
      </c>
      <c r="B44" t="s">
        <v>19</v>
      </c>
      <c r="C44" t="s">
        <v>38</v>
      </c>
      <c r="D44" t="s">
        <v>48</v>
      </c>
      <c r="E44" t="s">
        <v>24</v>
      </c>
      <c r="F44" t="s">
        <v>25</v>
      </c>
      <c r="G44" t="s">
        <v>24</v>
      </c>
      <c r="H44" t="s">
        <v>23</v>
      </c>
      <c r="I44" t="s">
        <v>38</v>
      </c>
      <c r="J44" t="s">
        <v>51</v>
      </c>
      <c r="K44">
        <v>2</v>
      </c>
      <c r="L44" t="s">
        <v>27</v>
      </c>
      <c r="M44" t="str">
        <f t="shared" si="4"/>
        <v>Port KemblaStoreCL_STORE_ICL</v>
      </c>
      <c r="N44" t="str">
        <f t="shared" si="5"/>
        <v>Port KemblaMakeVRMCL</v>
      </c>
      <c r="O44">
        <f t="shared" si="6"/>
        <v>1</v>
      </c>
      <c r="P44" t="str">
        <f t="shared" si="7"/>
        <v>Port KemblaStoreCL</v>
      </c>
    </row>
    <row r="45" spans="1:16" x14ac:dyDescent="0.25">
      <c r="A45" cm="1">
        <f t="array" ref="A45">IF(ISNA(_xlfn.XLOOKUP(P45,$P$2:P44,$A$2:A44)),IF(COUNTIFS($P$2:P45,P45)=1,IF(COUNTIFS($C$2:C44,C45)=0,1,_xlfn.MAXIFS($A$2:A44,$C$2:C44,C45)+1),A44),_xlfn.XLOOKUP(P45,$P$2:P44,$A$2:A44))</f>
        <v>2</v>
      </c>
      <c r="B45" t="s">
        <v>19</v>
      </c>
      <c r="C45" t="s">
        <v>38</v>
      </c>
      <c r="D45" t="s">
        <v>51</v>
      </c>
      <c r="E45" t="s">
        <v>24</v>
      </c>
      <c r="F45" t="s">
        <v>23</v>
      </c>
      <c r="G45" t="s">
        <v>19</v>
      </c>
      <c r="H45" t="s">
        <v>25</v>
      </c>
      <c r="I45" t="s">
        <v>38</v>
      </c>
      <c r="J45" t="s">
        <v>33</v>
      </c>
      <c r="K45">
        <v>1</v>
      </c>
      <c r="L45" t="s">
        <v>27</v>
      </c>
      <c r="M45" t="str">
        <f t="shared" si="4"/>
        <v>Port KemblaMakeVRMCL</v>
      </c>
      <c r="N45" t="str">
        <f t="shared" si="5"/>
        <v>Port KemblaStoreGP_STOREGP</v>
      </c>
      <c r="O45">
        <f t="shared" si="6"/>
        <v>2</v>
      </c>
      <c r="P45" t="str">
        <f t="shared" si="7"/>
        <v>Port KemblaMakeGP</v>
      </c>
    </row>
    <row r="46" spans="1:16" x14ac:dyDescent="0.25">
      <c r="A46" cm="1">
        <f t="array" ref="A46">IF(ISNA(_xlfn.XLOOKUP(P46,$P$2:P45,$A$2:A45)),IF(COUNTIFS($P$2:P46,P46)=1,IF(COUNTIFS($C$2:C45,C46)=0,1,_xlfn.MAXIFS($A$2:A45,$C$2:C45,C46)+1),A45),_xlfn.XLOOKUP(P46,$P$2:P45,$A$2:A45))</f>
        <v>3</v>
      </c>
      <c r="B46" t="s">
        <v>19</v>
      </c>
      <c r="C46" t="s">
        <v>38</v>
      </c>
      <c r="D46" t="s">
        <v>33</v>
      </c>
      <c r="E46" t="s">
        <v>19</v>
      </c>
      <c r="F46" t="s">
        <v>25</v>
      </c>
      <c r="G46" t="s">
        <v>19</v>
      </c>
      <c r="H46" t="s">
        <v>28</v>
      </c>
      <c r="I46" t="s">
        <v>38</v>
      </c>
      <c r="J46" t="s">
        <v>34</v>
      </c>
      <c r="K46">
        <v>2</v>
      </c>
      <c r="M46" t="str">
        <f t="shared" si="4"/>
        <v>Port KemblaStoreGP_STOREGP</v>
      </c>
      <c r="N46" t="str">
        <f t="shared" si="5"/>
        <v>Port KemblaMoveTRAINGP</v>
      </c>
      <c r="O46">
        <f t="shared" si="6"/>
        <v>3</v>
      </c>
      <c r="P46" t="str">
        <f t="shared" si="7"/>
        <v>Port KemblaStoreGP</v>
      </c>
    </row>
    <row r="47" spans="1:16" x14ac:dyDescent="0.25">
      <c r="A47" cm="1">
        <f t="array" ref="A47">IF(ISNA(_xlfn.XLOOKUP(P47,$P$2:P46,$A$2:A46)),IF(COUNTIFS($P$2:P47,P47)=1,IF(COUNTIFS($C$2:C46,C47)=0,1,_xlfn.MAXIFS($A$2:A46,$C$2:C46,C47)+1),A46),_xlfn.XLOOKUP(P47,$P$2:P46,$A$2:A46))</f>
        <v>3</v>
      </c>
      <c r="B47" t="s">
        <v>19</v>
      </c>
      <c r="C47" t="s">
        <v>38</v>
      </c>
      <c r="D47" t="s">
        <v>33</v>
      </c>
      <c r="E47" t="s">
        <v>19</v>
      </c>
      <c r="F47" t="s">
        <v>25</v>
      </c>
      <c r="G47" t="s">
        <v>19</v>
      </c>
      <c r="H47" t="s">
        <v>35</v>
      </c>
      <c r="I47" t="s">
        <v>38</v>
      </c>
      <c r="J47" t="s">
        <v>36</v>
      </c>
      <c r="K47">
        <v>2</v>
      </c>
      <c r="M47" t="str">
        <f t="shared" si="4"/>
        <v>Port KemblaStoreGP_STOREGP</v>
      </c>
      <c r="N47" t="str">
        <f t="shared" si="5"/>
        <v>Port KemblaDeliverTRUCKGP</v>
      </c>
      <c r="O47">
        <f t="shared" si="6"/>
        <v>1</v>
      </c>
      <c r="P47" t="str">
        <f t="shared" si="7"/>
        <v>Port KemblaStoreGP</v>
      </c>
    </row>
    <row r="48" spans="1:16" x14ac:dyDescent="0.25">
      <c r="A48" cm="1">
        <f t="array" ref="A48">IF(ISNA(_xlfn.XLOOKUP(P48,$P$2:P47,$A$2:A47)),IF(COUNTIFS($P$2:P48,P48)=1,IF(COUNTIFS($C$2:C47,C48)=0,1,_xlfn.MAXIFS($A$2:A47,$C$2:C47,C48)+1),A47),_xlfn.XLOOKUP(P48,$P$2:P47,$A$2:A47))</f>
        <v>4</v>
      </c>
      <c r="B48" t="s">
        <v>19</v>
      </c>
      <c r="C48" t="s">
        <v>38</v>
      </c>
      <c r="D48" t="s">
        <v>34</v>
      </c>
      <c r="E48" t="s">
        <v>19</v>
      </c>
      <c r="F48" t="s">
        <v>28</v>
      </c>
      <c r="G48" t="s">
        <v>19</v>
      </c>
      <c r="H48" t="s">
        <v>25</v>
      </c>
      <c r="I48" t="s">
        <v>52</v>
      </c>
      <c r="J48" t="s">
        <v>33</v>
      </c>
      <c r="K48">
        <v>3</v>
      </c>
      <c r="M48" t="str">
        <f t="shared" si="4"/>
        <v>Port KemblaMoveTRAINGP</v>
      </c>
      <c r="N48" t="str">
        <f t="shared" si="5"/>
        <v>AlburyStoreGP_STOREGP</v>
      </c>
      <c r="O48">
        <f t="shared" si="6"/>
        <v>1</v>
      </c>
      <c r="P48" t="str">
        <f t="shared" si="7"/>
        <v>Port KemblaMoveGP</v>
      </c>
    </row>
    <row r="49" spans="1:16" x14ac:dyDescent="0.25">
      <c r="A49" cm="1">
        <f t="array" ref="A49">IF(ISNA(_xlfn.XLOOKUP(P49,$P$2:P48,$A$2:A48)),IF(COUNTIFS($P$2:P49,P49)=1,IF(COUNTIFS($C$2:C48,C49)=0,1,_xlfn.MAXIFS($A$2:A48,$C$2:C48,C49)+1),A48),_xlfn.XLOOKUP(P49,$P$2:P48,$A$2:A48))</f>
        <v>4</v>
      </c>
      <c r="B49" t="s">
        <v>19</v>
      </c>
      <c r="C49" t="s">
        <v>38</v>
      </c>
      <c r="D49" t="s">
        <v>34</v>
      </c>
      <c r="E49" t="s">
        <v>19</v>
      </c>
      <c r="F49" t="s">
        <v>28</v>
      </c>
      <c r="G49" t="s">
        <v>19</v>
      </c>
      <c r="H49" t="s">
        <v>25</v>
      </c>
      <c r="I49" t="s">
        <v>53</v>
      </c>
      <c r="J49" t="s">
        <v>33</v>
      </c>
      <c r="K49">
        <v>3</v>
      </c>
      <c r="M49" t="str">
        <f t="shared" si="4"/>
        <v>Port KemblaMoveTRAINGP</v>
      </c>
      <c r="N49" t="str">
        <f t="shared" si="5"/>
        <v>WaggaStoreGP_STOREGP</v>
      </c>
      <c r="O49">
        <f t="shared" si="6"/>
        <v>1</v>
      </c>
      <c r="P49" t="str">
        <f t="shared" si="7"/>
        <v>Port KemblaMoveGP</v>
      </c>
    </row>
    <row r="50" spans="1:16" x14ac:dyDescent="0.25">
      <c r="A50" cm="1">
        <f t="array" ref="A50">IF(ISNA(_xlfn.XLOOKUP(P50,$P$2:P49,$A$2:A49)),IF(COUNTIFS($P$2:P50,P50)=1,IF(COUNTIFS($C$2:C49,C50)=0,1,_xlfn.MAXIFS($A$2:A49,$C$2:C49,C50)+1),A49),_xlfn.XLOOKUP(P50,$P$2:P49,$A$2:A49))</f>
        <v>4</v>
      </c>
      <c r="B50" t="s">
        <v>19</v>
      </c>
      <c r="C50" t="s">
        <v>38</v>
      </c>
      <c r="D50" t="s">
        <v>34</v>
      </c>
      <c r="E50" t="s">
        <v>19</v>
      </c>
      <c r="F50" t="s">
        <v>28</v>
      </c>
      <c r="G50" t="s">
        <v>19</v>
      </c>
      <c r="H50" t="s">
        <v>25</v>
      </c>
      <c r="I50" t="s">
        <v>54</v>
      </c>
      <c r="J50" t="s">
        <v>33</v>
      </c>
      <c r="K50">
        <v>3</v>
      </c>
      <c r="M50" t="str">
        <f t="shared" si="4"/>
        <v>Port KemblaMoveTRAINGP</v>
      </c>
      <c r="N50" t="str">
        <f t="shared" si="5"/>
        <v>ClydeStoreGP_STOREGP</v>
      </c>
      <c r="O50">
        <f t="shared" si="6"/>
        <v>1</v>
      </c>
      <c r="P50" t="str">
        <f t="shared" si="7"/>
        <v>Port KemblaMoveGP</v>
      </c>
    </row>
    <row r="51" spans="1:16" x14ac:dyDescent="0.25">
      <c r="A51" s="1">
        <v>4</v>
      </c>
      <c r="B51" t="s">
        <v>19</v>
      </c>
      <c r="C51" t="s">
        <v>38</v>
      </c>
      <c r="D51" t="s">
        <v>36</v>
      </c>
      <c r="E51" t="s">
        <v>19</v>
      </c>
      <c r="F51" t="s">
        <v>35</v>
      </c>
      <c r="G51" t="s">
        <v>19</v>
      </c>
      <c r="K51">
        <v>4</v>
      </c>
      <c r="M51" t="str">
        <f t="shared" si="4"/>
        <v>Port KemblaDeliverTRUCKGP</v>
      </c>
      <c r="N51" t="str">
        <f t="shared" si="5"/>
        <v>GP</v>
      </c>
      <c r="O51">
        <f t="shared" si="6"/>
        <v>0</v>
      </c>
      <c r="P51" t="str">
        <f t="shared" si="7"/>
        <v>Port KemblaDeliverGP</v>
      </c>
    </row>
    <row r="52" spans="1:16" x14ac:dyDescent="0.25">
      <c r="A52" cm="1">
        <f t="array" ref="A52">IF(ISNA(_xlfn.XLOOKUP(P52,$P$2:P51,$A$2:A51)),IF(COUNTIFS($P$2:P52,P52)=1,IF(COUNTIFS($C$2:C51,C52)=0,1,_xlfn.MAXIFS($A$2:A51,$C$2:C51,C52)+1),A51),_xlfn.XLOOKUP(P52,$P$2:P51,$A$2:A51))</f>
        <v>1</v>
      </c>
      <c r="B52" t="s">
        <v>19</v>
      </c>
      <c r="C52" t="s">
        <v>39</v>
      </c>
      <c r="D52" t="s">
        <v>33</v>
      </c>
      <c r="E52" t="s">
        <v>19</v>
      </c>
      <c r="F52" t="s">
        <v>25</v>
      </c>
      <c r="G52" t="s">
        <v>19</v>
      </c>
      <c r="H52" t="s">
        <v>35</v>
      </c>
      <c r="I52" t="s">
        <v>39</v>
      </c>
      <c r="J52" t="s">
        <v>36</v>
      </c>
      <c r="K52">
        <v>2</v>
      </c>
      <c r="M52" t="str">
        <f t="shared" si="4"/>
        <v>NewcastleStoreGP_STOREGP</v>
      </c>
      <c r="N52" t="str">
        <f t="shared" si="5"/>
        <v>NewcastleDeliverTRUCKGP</v>
      </c>
      <c r="O52">
        <f t="shared" si="6"/>
        <v>1</v>
      </c>
      <c r="P52" t="str">
        <f t="shared" si="7"/>
        <v>NewcastleStoreGP</v>
      </c>
    </row>
    <row r="53" spans="1:16" x14ac:dyDescent="0.25">
      <c r="A53" cm="1">
        <f t="array" ref="A53">IF(ISNA(_xlfn.XLOOKUP(P53,$P$2:P52,$A$2:A52)),IF(COUNTIFS($P$2:P53,P53)=1,IF(COUNTIFS($C$2:C52,C53)=0,1,_xlfn.MAXIFS($A$2:A52,$C$2:C52,C53)+1),A52),_xlfn.XLOOKUP(P53,$P$2:P52,$A$2:A52))</f>
        <v>2</v>
      </c>
      <c r="B53" t="s">
        <v>19</v>
      </c>
      <c r="C53" t="s">
        <v>39</v>
      </c>
      <c r="D53" t="s">
        <v>36</v>
      </c>
      <c r="E53" t="s">
        <v>19</v>
      </c>
      <c r="F53" t="s">
        <v>35</v>
      </c>
      <c r="G53" t="s">
        <v>19</v>
      </c>
      <c r="K53">
        <v>4</v>
      </c>
      <c r="M53" t="str">
        <f t="shared" si="4"/>
        <v>NewcastleDeliverTRUCKGP</v>
      </c>
      <c r="N53" t="str">
        <f t="shared" si="5"/>
        <v>GP</v>
      </c>
      <c r="O53">
        <f t="shared" si="6"/>
        <v>0</v>
      </c>
      <c r="P53" t="str">
        <f t="shared" si="7"/>
        <v>NewcastleDeliverGP</v>
      </c>
    </row>
    <row r="54" spans="1:16" x14ac:dyDescent="0.25">
      <c r="A54" cm="1">
        <f t="array" ref="A54">IF(ISNA(_xlfn.XLOOKUP(P54,$P$2:P53,$A$2:A53)),IF(COUNTIFS($P$2:P54,P54)=1,IF(COUNTIFS($C$2:C53,C54)=0,1,_xlfn.MAXIFS($A$2:A53,$C$2:C53,C54)+1),A53),_xlfn.XLOOKUP(P54,$P$2:P53,$A$2:A53))</f>
        <v>1</v>
      </c>
      <c r="B54" t="s">
        <v>19</v>
      </c>
      <c r="C54" t="s">
        <v>45</v>
      </c>
      <c r="D54" t="s">
        <v>33</v>
      </c>
      <c r="E54" t="s">
        <v>19</v>
      </c>
      <c r="F54" t="s">
        <v>25</v>
      </c>
      <c r="G54" t="s">
        <v>19</v>
      </c>
      <c r="H54" t="s">
        <v>35</v>
      </c>
      <c r="I54" t="s">
        <v>45</v>
      </c>
      <c r="J54" t="s">
        <v>36</v>
      </c>
      <c r="K54">
        <v>2</v>
      </c>
      <c r="M54" t="str">
        <f t="shared" si="4"/>
        <v>MelbourneStoreGP_STOREGP</v>
      </c>
      <c r="N54" t="str">
        <f t="shared" si="5"/>
        <v>MelbourneDeliverTRUCKGP</v>
      </c>
      <c r="O54">
        <f t="shared" si="6"/>
        <v>1</v>
      </c>
      <c r="P54" t="str">
        <f t="shared" si="7"/>
        <v>MelbourneStoreGP</v>
      </c>
    </row>
    <row r="55" spans="1:16" x14ac:dyDescent="0.25">
      <c r="A55" cm="1">
        <f t="array" ref="A55">IF(ISNA(_xlfn.XLOOKUP(P55,$P$2:P54,$A$2:A54)),IF(COUNTIFS($P$2:P55,P55)=1,IF(COUNTIFS($C$2:C54,C55)=0,1,_xlfn.MAXIFS($A$2:A54,$C$2:C54,C55)+1),A54),_xlfn.XLOOKUP(P55,$P$2:P54,$A$2:A54))</f>
        <v>2</v>
      </c>
      <c r="B55" t="s">
        <v>19</v>
      </c>
      <c r="C55" t="s">
        <v>45</v>
      </c>
      <c r="D55" t="s">
        <v>36</v>
      </c>
      <c r="E55" t="s">
        <v>19</v>
      </c>
      <c r="F55" t="s">
        <v>35</v>
      </c>
      <c r="G55" t="s">
        <v>19</v>
      </c>
      <c r="K55">
        <v>4</v>
      </c>
      <c r="M55" t="str">
        <f t="shared" si="4"/>
        <v>MelbourneDeliverTRUCKGP</v>
      </c>
      <c r="N55" t="str">
        <f t="shared" si="5"/>
        <v>GP</v>
      </c>
      <c r="O55">
        <f t="shared" si="6"/>
        <v>0</v>
      </c>
      <c r="P55" t="str">
        <f t="shared" si="7"/>
        <v>MelbourneDeliverGP</v>
      </c>
    </row>
    <row r="56" spans="1:16" x14ac:dyDescent="0.25">
      <c r="A56" cm="1">
        <f t="array" ref="A56">IF(ISNA(_xlfn.XLOOKUP(P56,$P$2:P55,$A$2:A55)),IF(COUNTIFS($P$2:P56,P56)=1,IF(COUNTIFS($C$2:C55,C56)=0,1,_xlfn.MAXIFS($A$2:A55,$C$2:C55,C56)+1),A55),_xlfn.XLOOKUP(P56,$P$2:P55,$A$2:A55))</f>
        <v>1</v>
      </c>
      <c r="B56" t="s">
        <v>19</v>
      </c>
      <c r="C56" t="s">
        <v>46</v>
      </c>
      <c r="D56" t="s">
        <v>33</v>
      </c>
      <c r="E56" t="s">
        <v>19</v>
      </c>
      <c r="F56" t="s">
        <v>25</v>
      </c>
      <c r="G56" t="s">
        <v>19</v>
      </c>
      <c r="H56" t="s">
        <v>35</v>
      </c>
      <c r="I56" t="s">
        <v>46</v>
      </c>
      <c r="J56" t="s">
        <v>36</v>
      </c>
      <c r="K56">
        <v>2</v>
      </c>
      <c r="M56" t="str">
        <f t="shared" si="4"/>
        <v>OsbornStoreGP_STOREGP</v>
      </c>
      <c r="N56" t="str">
        <f t="shared" si="5"/>
        <v>OsbornDeliverTRUCKGP</v>
      </c>
      <c r="O56">
        <f t="shared" si="6"/>
        <v>1</v>
      </c>
      <c r="P56" t="str">
        <f t="shared" si="7"/>
        <v>OsbornStoreGP</v>
      </c>
    </row>
    <row r="57" spans="1:16" x14ac:dyDescent="0.25">
      <c r="A57" cm="1">
        <f t="array" ref="A57">IF(ISNA(_xlfn.XLOOKUP(P57,$P$2:P56,$A$2:A56)),IF(COUNTIFS($P$2:P57,P57)=1,IF(COUNTIFS($C$2:C56,C57)=0,1,_xlfn.MAXIFS($A$2:A56,$C$2:C56,C57)+1),A56),_xlfn.XLOOKUP(P57,$P$2:P56,$A$2:A56))</f>
        <v>2</v>
      </c>
      <c r="B57" t="s">
        <v>19</v>
      </c>
      <c r="C57" t="s">
        <v>46</v>
      </c>
      <c r="D57" t="s">
        <v>36</v>
      </c>
      <c r="E57" t="s">
        <v>19</v>
      </c>
      <c r="F57" t="s">
        <v>35</v>
      </c>
      <c r="G57" t="s">
        <v>19</v>
      </c>
      <c r="K57">
        <v>4</v>
      </c>
      <c r="M57" t="str">
        <f t="shared" si="4"/>
        <v>OsbornDeliverTRUCKGP</v>
      </c>
      <c r="N57" t="str">
        <f t="shared" si="5"/>
        <v>GP</v>
      </c>
      <c r="O57">
        <f t="shared" si="6"/>
        <v>0</v>
      </c>
      <c r="P57" t="str">
        <f t="shared" si="7"/>
        <v>OsbornDeliverGP</v>
      </c>
    </row>
    <row r="58" spans="1:16" x14ac:dyDescent="0.25">
      <c r="A58" cm="1">
        <f t="array" ref="A58">IF(ISNA(_xlfn.XLOOKUP(P58,$P$2:P57,$A$2:A57)),IF(COUNTIFS($P$2:P58,P58)=1,IF(COUNTIFS($C$2:C57,C58)=0,1,_xlfn.MAXIFS($A$2:A57,$C$2:C57,C58)+1),A57),_xlfn.XLOOKUP(P58,$P$2:P57,$A$2:A57))</f>
        <v>1</v>
      </c>
      <c r="B58" t="s">
        <v>19</v>
      </c>
      <c r="C58" t="s">
        <v>37</v>
      </c>
      <c r="D58" t="s">
        <v>33</v>
      </c>
      <c r="E58" t="s">
        <v>19</v>
      </c>
      <c r="F58" t="s">
        <v>25</v>
      </c>
      <c r="G58" t="s">
        <v>19</v>
      </c>
      <c r="H58" t="s">
        <v>35</v>
      </c>
      <c r="I58" t="s">
        <v>37</v>
      </c>
      <c r="J58" t="s">
        <v>36</v>
      </c>
      <c r="K58">
        <v>2</v>
      </c>
      <c r="M58" t="str">
        <f t="shared" si="4"/>
        <v>TownsvilleStoreGP_STOREGP</v>
      </c>
      <c r="N58" t="str">
        <f t="shared" si="5"/>
        <v>TownsvilleDeliverTRUCKGP</v>
      </c>
      <c r="O58">
        <f t="shared" si="6"/>
        <v>1</v>
      </c>
      <c r="P58" t="str">
        <f t="shared" si="7"/>
        <v>TownsvilleStoreGP</v>
      </c>
    </row>
    <row r="59" spans="1:16" x14ac:dyDescent="0.25">
      <c r="A59" cm="1">
        <f t="array" ref="A59">IF(ISNA(_xlfn.XLOOKUP(P59,$P$2:P58,$A$2:A58)),IF(COUNTIFS($P$2:P59,P59)=1,IF(COUNTIFS($C$2:C58,C59)=0,1,_xlfn.MAXIFS($A$2:A58,$C$2:C58,C59)+1),A58),_xlfn.XLOOKUP(P59,$P$2:P58,$A$2:A58))</f>
        <v>2</v>
      </c>
      <c r="B59" t="s">
        <v>19</v>
      </c>
      <c r="C59" t="s">
        <v>37</v>
      </c>
      <c r="D59" t="s">
        <v>36</v>
      </c>
      <c r="E59" t="s">
        <v>19</v>
      </c>
      <c r="F59" t="s">
        <v>35</v>
      </c>
      <c r="G59" t="s">
        <v>19</v>
      </c>
      <c r="K59">
        <v>4</v>
      </c>
      <c r="M59" t="str">
        <f t="shared" si="4"/>
        <v>TownsvilleDeliverTRUCKGP</v>
      </c>
      <c r="N59" t="str">
        <f t="shared" si="5"/>
        <v>GP</v>
      </c>
      <c r="O59">
        <f t="shared" si="6"/>
        <v>0</v>
      </c>
      <c r="P59" t="str">
        <f t="shared" si="7"/>
        <v>TownsvilleDeliverGP</v>
      </c>
    </row>
    <row r="60" spans="1:16" x14ac:dyDescent="0.25">
      <c r="A60" cm="1">
        <f t="array" ref="A60">IF(ISNA(_xlfn.XLOOKUP(P60,$P$2:P59,$A$2:A59)),IF(COUNTIFS($P$2:P60,P60)=1,IF(COUNTIFS($C$2:C59,C60)=0,1,_xlfn.MAXIFS($A$2:A59,$C$2:C59,C60)+1),A59),_xlfn.XLOOKUP(P60,$P$2:P59,$A$2:A59))</f>
        <v>1</v>
      </c>
      <c r="B60" t="s">
        <v>19</v>
      </c>
      <c r="C60" t="s">
        <v>40</v>
      </c>
      <c r="D60" t="s">
        <v>33</v>
      </c>
      <c r="E60" t="s">
        <v>19</v>
      </c>
      <c r="F60" t="s">
        <v>25</v>
      </c>
      <c r="G60" t="s">
        <v>19</v>
      </c>
      <c r="H60" t="s">
        <v>35</v>
      </c>
      <c r="I60" t="s">
        <v>40</v>
      </c>
      <c r="J60" t="s">
        <v>36</v>
      </c>
      <c r="K60">
        <v>2</v>
      </c>
      <c r="M60" t="str">
        <f t="shared" si="4"/>
        <v>MackayStoreGP_STOREGP</v>
      </c>
      <c r="N60" t="str">
        <f t="shared" si="5"/>
        <v>MackayDeliverTRUCKGP</v>
      </c>
      <c r="O60">
        <f t="shared" si="6"/>
        <v>1</v>
      </c>
      <c r="P60" t="str">
        <f t="shared" si="7"/>
        <v>MackayStoreGP</v>
      </c>
    </row>
    <row r="61" spans="1:16" x14ac:dyDescent="0.25">
      <c r="A61" cm="1">
        <f t="array" ref="A61">IF(ISNA(_xlfn.XLOOKUP(P61,$P$2:P60,$A$2:A60)),IF(COUNTIFS($P$2:P61,P61)=1,IF(COUNTIFS($C$2:C60,C61)=0,1,_xlfn.MAXIFS($A$2:A60,$C$2:C60,C61)+1),A60),_xlfn.XLOOKUP(P61,$P$2:P60,$A$2:A60))</f>
        <v>2</v>
      </c>
      <c r="B61" t="s">
        <v>19</v>
      </c>
      <c r="C61" t="s">
        <v>40</v>
      </c>
      <c r="D61" t="s">
        <v>36</v>
      </c>
      <c r="E61" t="s">
        <v>19</v>
      </c>
      <c r="F61" t="s">
        <v>35</v>
      </c>
      <c r="G61" t="s">
        <v>19</v>
      </c>
      <c r="K61">
        <v>4</v>
      </c>
      <c r="M61" t="str">
        <f t="shared" si="4"/>
        <v>MackayDeliverTRUCKGP</v>
      </c>
      <c r="N61" t="str">
        <f t="shared" si="5"/>
        <v>GP</v>
      </c>
      <c r="O61">
        <f t="shared" si="6"/>
        <v>0</v>
      </c>
      <c r="P61" t="str">
        <f t="shared" si="7"/>
        <v>MackayDeliverGP</v>
      </c>
    </row>
    <row r="62" spans="1:16" x14ac:dyDescent="0.25">
      <c r="A62" cm="1">
        <f t="array" ref="A62">IF(ISNA(_xlfn.XLOOKUP(P62,$P$2:P61,$A$2:A61)),IF(COUNTIFS($P$2:P62,P62)=1,IF(COUNTIFS($C$2:C61,C62)=0,1,_xlfn.MAXIFS($A$2:A61,$C$2:C61,C62)+1),A61),_xlfn.XLOOKUP(P62,$P$2:P61,$A$2:A61))</f>
        <v>1</v>
      </c>
      <c r="B62" t="s">
        <v>19</v>
      </c>
      <c r="C62" t="s">
        <v>53</v>
      </c>
      <c r="D62" t="s">
        <v>33</v>
      </c>
      <c r="E62" t="s">
        <v>19</v>
      </c>
      <c r="F62" t="s">
        <v>25</v>
      </c>
      <c r="G62" t="s">
        <v>19</v>
      </c>
      <c r="H62" t="s">
        <v>35</v>
      </c>
      <c r="I62" t="s">
        <v>53</v>
      </c>
      <c r="J62" t="s">
        <v>36</v>
      </c>
      <c r="K62">
        <v>2</v>
      </c>
      <c r="M62" t="str">
        <f t="shared" si="4"/>
        <v>WaggaStoreGP_STOREGP</v>
      </c>
      <c r="N62" t="str">
        <f t="shared" si="5"/>
        <v>WaggaDeliverTRUCKGP</v>
      </c>
      <c r="O62">
        <f t="shared" si="6"/>
        <v>1</v>
      </c>
      <c r="P62" t="str">
        <f t="shared" si="7"/>
        <v>WaggaStoreGP</v>
      </c>
    </row>
    <row r="63" spans="1:16" x14ac:dyDescent="0.25">
      <c r="A63" cm="1">
        <f t="array" ref="A63">IF(ISNA(_xlfn.XLOOKUP(P63,$P$2:P62,$A$2:A62)),IF(COUNTIFS($P$2:P63,P63)=1,IF(COUNTIFS($C$2:C62,C63)=0,1,_xlfn.MAXIFS($A$2:A62,$C$2:C62,C63)+1),A62),_xlfn.XLOOKUP(P63,$P$2:P62,$A$2:A62))</f>
        <v>2</v>
      </c>
      <c r="B63" t="s">
        <v>19</v>
      </c>
      <c r="C63" t="s">
        <v>53</v>
      </c>
      <c r="D63" t="s">
        <v>36</v>
      </c>
      <c r="E63" t="s">
        <v>19</v>
      </c>
      <c r="F63" t="s">
        <v>35</v>
      </c>
      <c r="G63" t="s">
        <v>19</v>
      </c>
      <c r="K63">
        <v>4</v>
      </c>
      <c r="M63" t="str">
        <f t="shared" si="4"/>
        <v>WaggaDeliverTRUCKGP</v>
      </c>
      <c r="N63" t="str">
        <f t="shared" si="5"/>
        <v>GP</v>
      </c>
      <c r="O63">
        <f t="shared" si="6"/>
        <v>0</v>
      </c>
      <c r="P63" t="str">
        <f t="shared" si="7"/>
        <v>WaggaDeliverGP</v>
      </c>
    </row>
    <row r="64" spans="1:16" x14ac:dyDescent="0.25">
      <c r="A64" cm="1">
        <f t="array" ref="A64">IF(ISNA(_xlfn.XLOOKUP(P64,$P$2:P63,$A$2:A63)),IF(COUNTIFS($P$2:P64,P64)=1,IF(COUNTIFS($C$2:C63,C64)=0,1,_xlfn.MAXIFS($A$2:A63,$C$2:C63,C64)+1),A63),_xlfn.XLOOKUP(P64,$P$2:P63,$A$2:A63))</f>
        <v>1</v>
      </c>
      <c r="B64" t="s">
        <v>19</v>
      </c>
      <c r="C64" t="s">
        <v>52</v>
      </c>
      <c r="D64" t="s">
        <v>33</v>
      </c>
      <c r="E64" t="s">
        <v>19</v>
      </c>
      <c r="F64" t="s">
        <v>25</v>
      </c>
      <c r="G64" t="s">
        <v>19</v>
      </c>
      <c r="H64" t="s">
        <v>35</v>
      </c>
      <c r="I64" t="s">
        <v>52</v>
      </c>
      <c r="J64" t="s">
        <v>36</v>
      </c>
      <c r="K64">
        <v>2</v>
      </c>
      <c r="M64" t="str">
        <f t="shared" si="4"/>
        <v>AlburyStoreGP_STOREGP</v>
      </c>
      <c r="N64" t="str">
        <f t="shared" si="5"/>
        <v>AlburyDeliverTRUCKGP</v>
      </c>
      <c r="O64">
        <f t="shared" si="6"/>
        <v>1</v>
      </c>
      <c r="P64" t="str">
        <f t="shared" si="7"/>
        <v>AlburyStoreGP</v>
      </c>
    </row>
    <row r="65" spans="1:16" x14ac:dyDescent="0.25">
      <c r="A65" cm="1">
        <f t="array" ref="A65">IF(ISNA(_xlfn.XLOOKUP(P65,$P$2:P64,$A$2:A64)),IF(COUNTIFS($P$2:P65,P65)=1,IF(COUNTIFS($C$2:C64,C65)=0,1,_xlfn.MAXIFS($A$2:A64,$C$2:C64,C65)+1),A64),_xlfn.XLOOKUP(P65,$P$2:P64,$A$2:A64))</f>
        <v>2</v>
      </c>
      <c r="B65" t="s">
        <v>19</v>
      </c>
      <c r="C65" t="s">
        <v>52</v>
      </c>
      <c r="D65" t="s">
        <v>36</v>
      </c>
      <c r="E65" t="s">
        <v>19</v>
      </c>
      <c r="F65" t="s">
        <v>35</v>
      </c>
      <c r="G65" t="s">
        <v>19</v>
      </c>
      <c r="K65">
        <v>4</v>
      </c>
      <c r="M65" t="str">
        <f t="shared" si="4"/>
        <v>AlburyDeliverTRUCKGP</v>
      </c>
      <c r="P65" t="str">
        <f t="shared" si="7"/>
        <v>AlburyDeliverGP</v>
      </c>
    </row>
    <row r="66" spans="1:16" x14ac:dyDescent="0.25">
      <c r="A66" cm="1">
        <f t="array" ref="A66">IF(ISNA(_xlfn.XLOOKUP(P66,$P$2:P65,$A$2:A65)),IF(COUNTIFS($P$2:P66,P66)=1,IF(COUNTIFS($C$2:C65,C66)=0,1,_xlfn.MAXIFS($A$2:A65,$C$2:C65,C66)+1),A65),_xlfn.XLOOKUP(P66,$P$2:P65,$A$2:A65))</f>
        <v>1</v>
      </c>
      <c r="B66" t="s">
        <v>19</v>
      </c>
      <c r="C66" t="s">
        <v>54</v>
      </c>
      <c r="D66" t="s">
        <v>33</v>
      </c>
      <c r="E66" t="s">
        <v>19</v>
      </c>
      <c r="F66" t="s">
        <v>25</v>
      </c>
      <c r="G66" t="s">
        <v>19</v>
      </c>
      <c r="H66" t="s">
        <v>35</v>
      </c>
      <c r="I66" t="s">
        <v>54</v>
      </c>
      <c r="J66" t="s">
        <v>36</v>
      </c>
      <c r="K66">
        <v>2</v>
      </c>
      <c r="M66" t="str">
        <f t="shared" si="4"/>
        <v>ClydeStoreGP_STOREGP</v>
      </c>
      <c r="P66" t="str">
        <f t="shared" si="7"/>
        <v>ClydeStoreGP</v>
      </c>
    </row>
    <row r="67" spans="1:16" x14ac:dyDescent="0.25">
      <c r="A67" cm="1">
        <f t="array" ref="A67">IF(ISNA(_xlfn.XLOOKUP(P67,$P$2:P66,$A$2:A66)),IF(COUNTIFS($P$2:P67,P67)=1,IF(COUNTIFS($C$2:C66,C67)=0,1,_xlfn.MAXIFS($A$2:A66,$C$2:C66,C67)+1),A66),_xlfn.XLOOKUP(P67,$P$2:P66,$A$2:A66))</f>
        <v>2</v>
      </c>
      <c r="B67" t="s">
        <v>19</v>
      </c>
      <c r="C67" t="s">
        <v>54</v>
      </c>
      <c r="D67" t="s">
        <v>36</v>
      </c>
      <c r="E67" t="s">
        <v>19</v>
      </c>
      <c r="F67" t="s">
        <v>35</v>
      </c>
      <c r="G67" t="s">
        <v>19</v>
      </c>
      <c r="K67">
        <v>4</v>
      </c>
      <c r="M67" t="str">
        <f t="shared" si="4"/>
        <v>ClydeDeliverTRUCKGP</v>
      </c>
      <c r="P67" t="str">
        <f t="shared" si="7"/>
        <v>ClydeDeliverGP</v>
      </c>
    </row>
    <row r="68" spans="1:16" x14ac:dyDescent="0.25">
      <c r="A68" s="1">
        <v>1</v>
      </c>
      <c r="B68" t="s">
        <v>55</v>
      </c>
      <c r="C68" t="s">
        <v>20</v>
      </c>
      <c r="D68" t="s">
        <v>56</v>
      </c>
      <c r="E68" t="s">
        <v>55</v>
      </c>
      <c r="F68" t="s">
        <v>25</v>
      </c>
      <c r="G68" t="s">
        <v>55</v>
      </c>
      <c r="H68" t="s">
        <v>28</v>
      </c>
      <c r="I68" t="s">
        <v>20</v>
      </c>
      <c r="J68" t="s">
        <v>29</v>
      </c>
      <c r="K68">
        <v>2</v>
      </c>
    </row>
    <row r="69" spans="1:16" x14ac:dyDescent="0.25">
      <c r="A69" s="1">
        <v>2</v>
      </c>
      <c r="B69" t="s">
        <v>55</v>
      </c>
      <c r="C69" t="s">
        <v>20</v>
      </c>
      <c r="D69" t="s">
        <v>29</v>
      </c>
      <c r="E69" t="s">
        <v>55</v>
      </c>
      <c r="F69" t="s">
        <v>28</v>
      </c>
      <c r="G69" t="s">
        <v>55</v>
      </c>
      <c r="H69" t="s">
        <v>25</v>
      </c>
      <c r="I69" t="s">
        <v>45</v>
      </c>
      <c r="J69" t="s">
        <v>56</v>
      </c>
      <c r="K69">
        <v>3</v>
      </c>
    </row>
    <row r="70" spans="1:16" x14ac:dyDescent="0.25">
      <c r="A70" s="1">
        <v>2</v>
      </c>
      <c r="B70" t="s">
        <v>55</v>
      </c>
      <c r="C70" t="s">
        <v>20</v>
      </c>
      <c r="D70" t="s">
        <v>29</v>
      </c>
      <c r="E70" t="s">
        <v>55</v>
      </c>
      <c r="F70" t="s">
        <v>28</v>
      </c>
      <c r="G70" t="s">
        <v>55</v>
      </c>
      <c r="H70" t="s">
        <v>25</v>
      </c>
      <c r="I70" t="s">
        <v>38</v>
      </c>
      <c r="J70" t="s">
        <v>56</v>
      </c>
      <c r="K70">
        <v>3</v>
      </c>
    </row>
    <row r="71" spans="1:16" x14ac:dyDescent="0.25">
      <c r="A71" s="1">
        <v>1</v>
      </c>
      <c r="B71" t="s">
        <v>55</v>
      </c>
      <c r="C71" t="s">
        <v>45</v>
      </c>
      <c r="D71" t="s">
        <v>56</v>
      </c>
      <c r="E71" t="s">
        <v>55</v>
      </c>
      <c r="F71" t="s">
        <v>25</v>
      </c>
      <c r="G71" t="s">
        <v>55</v>
      </c>
      <c r="H71" t="s">
        <v>35</v>
      </c>
      <c r="I71" t="s">
        <v>45</v>
      </c>
      <c r="J71" t="s">
        <v>36</v>
      </c>
      <c r="K71">
        <v>2</v>
      </c>
    </row>
    <row r="72" spans="1:16" x14ac:dyDescent="0.25">
      <c r="A72" s="1">
        <v>1</v>
      </c>
      <c r="B72" t="s">
        <v>55</v>
      </c>
      <c r="C72" t="s">
        <v>38</v>
      </c>
      <c r="D72" t="s">
        <v>56</v>
      </c>
      <c r="E72" t="s">
        <v>55</v>
      </c>
      <c r="F72" t="s">
        <v>25</v>
      </c>
      <c r="G72" t="s">
        <v>55</v>
      </c>
      <c r="H72" t="s">
        <v>35</v>
      </c>
      <c r="I72" t="s">
        <v>38</v>
      </c>
      <c r="J72" t="s">
        <v>36</v>
      </c>
      <c r="K72">
        <v>2</v>
      </c>
    </row>
    <row r="73" spans="1:16" x14ac:dyDescent="0.25">
      <c r="A73" s="1">
        <v>2</v>
      </c>
      <c r="B73" t="s">
        <v>55</v>
      </c>
      <c r="C73" t="s">
        <v>45</v>
      </c>
      <c r="D73" t="s">
        <v>36</v>
      </c>
      <c r="E73" t="s">
        <v>55</v>
      </c>
      <c r="F73" t="s">
        <v>35</v>
      </c>
      <c r="G73" t="s">
        <v>55</v>
      </c>
      <c r="K73">
        <v>4</v>
      </c>
    </row>
    <row r="74" spans="1:16" x14ac:dyDescent="0.25">
      <c r="A74" s="1">
        <v>2</v>
      </c>
      <c r="B74" t="s">
        <v>55</v>
      </c>
      <c r="C74" t="s">
        <v>38</v>
      </c>
      <c r="D74" t="s">
        <v>36</v>
      </c>
      <c r="E74" t="s">
        <v>55</v>
      </c>
      <c r="F74" t="s">
        <v>35</v>
      </c>
      <c r="G74" t="s">
        <v>55</v>
      </c>
      <c r="K74">
        <v>4</v>
      </c>
    </row>
    <row r="75" spans="1:16" x14ac:dyDescent="0.25">
      <c r="A75" s="1">
        <v>1</v>
      </c>
      <c r="B75" t="s">
        <v>75</v>
      </c>
      <c r="C75" t="s">
        <v>47</v>
      </c>
      <c r="D75" t="s">
        <v>76</v>
      </c>
      <c r="E75" t="s">
        <v>77</v>
      </c>
      <c r="F75" t="s">
        <v>25</v>
      </c>
      <c r="G75" t="s">
        <v>77</v>
      </c>
      <c r="H75" t="s">
        <v>28</v>
      </c>
      <c r="I75" t="s">
        <v>47</v>
      </c>
      <c r="J75" t="s">
        <v>29</v>
      </c>
      <c r="K75">
        <v>2</v>
      </c>
    </row>
    <row r="76" spans="1:16" x14ac:dyDescent="0.25">
      <c r="A76" s="1">
        <v>2</v>
      </c>
      <c r="B76" t="s">
        <v>75</v>
      </c>
      <c r="C76" t="s">
        <v>47</v>
      </c>
      <c r="D76" t="s">
        <v>29</v>
      </c>
      <c r="E76" t="s">
        <v>77</v>
      </c>
      <c r="F76" t="s">
        <v>28</v>
      </c>
      <c r="G76" t="s">
        <v>77</v>
      </c>
      <c r="H76" t="s">
        <v>25</v>
      </c>
      <c r="I76" t="s">
        <v>38</v>
      </c>
      <c r="J76" t="s">
        <v>76</v>
      </c>
      <c r="K76">
        <v>3</v>
      </c>
    </row>
    <row r="77" spans="1:16" x14ac:dyDescent="0.25">
      <c r="A77" s="1">
        <v>2</v>
      </c>
      <c r="B77" t="s">
        <v>75</v>
      </c>
      <c r="C77" t="s">
        <v>47</v>
      </c>
      <c r="D77" t="s">
        <v>29</v>
      </c>
      <c r="E77" t="s">
        <v>77</v>
      </c>
      <c r="F77" t="s">
        <v>28</v>
      </c>
      <c r="G77" t="s">
        <v>77</v>
      </c>
      <c r="H77" t="s">
        <v>25</v>
      </c>
      <c r="I77" t="s">
        <v>30</v>
      </c>
      <c r="J77" t="s">
        <v>76</v>
      </c>
      <c r="K77">
        <v>3</v>
      </c>
    </row>
    <row r="78" spans="1:16" x14ac:dyDescent="0.25">
      <c r="A78" s="1">
        <v>1</v>
      </c>
      <c r="B78" t="s">
        <v>75</v>
      </c>
      <c r="C78" t="s">
        <v>38</v>
      </c>
      <c r="D78" t="s">
        <v>76</v>
      </c>
      <c r="E78" t="s">
        <v>77</v>
      </c>
      <c r="F78" t="s">
        <v>25</v>
      </c>
      <c r="G78" t="s">
        <v>77</v>
      </c>
      <c r="H78" t="s">
        <v>23</v>
      </c>
      <c r="I78" t="s">
        <v>38</v>
      </c>
      <c r="J78" t="s">
        <v>51</v>
      </c>
      <c r="K78">
        <v>2</v>
      </c>
    </row>
    <row r="79" spans="1:16" x14ac:dyDescent="0.25">
      <c r="A79" s="1">
        <v>2</v>
      </c>
      <c r="B79" t="s">
        <v>75</v>
      </c>
      <c r="C79" t="s">
        <v>38</v>
      </c>
      <c r="D79" t="s">
        <v>51</v>
      </c>
      <c r="E79" t="s">
        <v>77</v>
      </c>
      <c r="F79" t="s">
        <v>23</v>
      </c>
      <c r="G79" t="s">
        <v>75</v>
      </c>
      <c r="H79" t="s">
        <v>25</v>
      </c>
      <c r="I79" t="s">
        <v>38</v>
      </c>
      <c r="J79" t="s">
        <v>78</v>
      </c>
      <c r="K79">
        <v>1</v>
      </c>
    </row>
    <row r="80" spans="1:16" x14ac:dyDescent="0.25">
      <c r="A80" s="1">
        <v>3</v>
      </c>
      <c r="B80" t="s">
        <v>75</v>
      </c>
      <c r="C80" t="s">
        <v>38</v>
      </c>
      <c r="D80" t="s">
        <v>78</v>
      </c>
      <c r="E80" t="s">
        <v>75</v>
      </c>
      <c r="F80" t="s">
        <v>25</v>
      </c>
      <c r="G80" t="s">
        <v>75</v>
      </c>
      <c r="H80" t="s">
        <v>35</v>
      </c>
      <c r="I80" t="s">
        <v>38</v>
      </c>
      <c r="J80" t="s">
        <v>36</v>
      </c>
      <c r="K80">
        <v>2</v>
      </c>
    </row>
    <row r="81" spans="1:11" x14ac:dyDescent="0.25">
      <c r="A81" s="1">
        <v>4</v>
      </c>
      <c r="B81" t="s">
        <v>75</v>
      </c>
      <c r="C81" t="s">
        <v>38</v>
      </c>
      <c r="D81" t="s">
        <v>36</v>
      </c>
      <c r="E81" t="s">
        <v>75</v>
      </c>
      <c r="F81" t="s">
        <v>35</v>
      </c>
      <c r="G81" t="s">
        <v>75</v>
      </c>
      <c r="K81">
        <v>4</v>
      </c>
    </row>
    <row r="82" spans="1:11" x14ac:dyDescent="0.25">
      <c r="A82" s="1">
        <v>3</v>
      </c>
      <c r="B82" t="s">
        <v>75</v>
      </c>
      <c r="C82" t="s">
        <v>38</v>
      </c>
      <c r="D82" t="s">
        <v>78</v>
      </c>
      <c r="E82" t="s">
        <v>75</v>
      </c>
      <c r="F82" t="s">
        <v>25</v>
      </c>
      <c r="G82" t="s">
        <v>75</v>
      </c>
      <c r="H82" t="s">
        <v>28</v>
      </c>
      <c r="I82" t="s">
        <v>38</v>
      </c>
      <c r="J82" t="s">
        <v>29</v>
      </c>
      <c r="K82">
        <v>2</v>
      </c>
    </row>
    <row r="83" spans="1:11" x14ac:dyDescent="0.25">
      <c r="A83" s="1">
        <v>3</v>
      </c>
      <c r="B83" t="s">
        <v>75</v>
      </c>
      <c r="C83" t="s">
        <v>38</v>
      </c>
      <c r="D83" t="s">
        <v>78</v>
      </c>
      <c r="E83" t="s">
        <v>75</v>
      </c>
      <c r="F83" t="s">
        <v>25</v>
      </c>
      <c r="G83" t="s">
        <v>75</v>
      </c>
      <c r="H83" t="s">
        <v>28</v>
      </c>
      <c r="I83" t="s">
        <v>38</v>
      </c>
      <c r="J83" t="s">
        <v>34</v>
      </c>
      <c r="K83">
        <v>2</v>
      </c>
    </row>
    <row r="84" spans="1:11" x14ac:dyDescent="0.25">
      <c r="A84" s="1">
        <v>4</v>
      </c>
      <c r="B84" t="s">
        <v>75</v>
      </c>
      <c r="C84" t="s">
        <v>38</v>
      </c>
      <c r="D84" t="s">
        <v>29</v>
      </c>
      <c r="E84" t="s">
        <v>75</v>
      </c>
      <c r="F84" t="s">
        <v>28</v>
      </c>
      <c r="G84" t="s">
        <v>75</v>
      </c>
      <c r="H84" t="s">
        <v>25</v>
      </c>
      <c r="I84" t="s">
        <v>45</v>
      </c>
      <c r="J84" t="s">
        <v>78</v>
      </c>
      <c r="K84">
        <v>3</v>
      </c>
    </row>
    <row r="85" spans="1:11" x14ac:dyDescent="0.25">
      <c r="A85" s="1">
        <v>4</v>
      </c>
      <c r="B85" t="s">
        <v>75</v>
      </c>
      <c r="C85" t="s">
        <v>38</v>
      </c>
      <c r="D85" t="s">
        <v>34</v>
      </c>
      <c r="E85" t="s">
        <v>75</v>
      </c>
      <c r="F85" t="s">
        <v>28</v>
      </c>
      <c r="G85" t="s">
        <v>75</v>
      </c>
      <c r="H85" t="s">
        <v>25</v>
      </c>
      <c r="I85" t="s">
        <v>54</v>
      </c>
      <c r="J85" t="s">
        <v>78</v>
      </c>
      <c r="K85">
        <v>3</v>
      </c>
    </row>
    <row r="86" spans="1:11" x14ac:dyDescent="0.25">
      <c r="A86" s="1">
        <v>4</v>
      </c>
      <c r="B86" t="s">
        <v>75</v>
      </c>
      <c r="C86" t="s">
        <v>38</v>
      </c>
      <c r="D86" t="s">
        <v>34</v>
      </c>
      <c r="E86" t="s">
        <v>75</v>
      </c>
      <c r="F86" t="s">
        <v>28</v>
      </c>
      <c r="G86" t="s">
        <v>75</v>
      </c>
      <c r="H86" t="s">
        <v>25</v>
      </c>
      <c r="I86" t="s">
        <v>80</v>
      </c>
      <c r="J86" t="s">
        <v>78</v>
      </c>
      <c r="K86">
        <v>3</v>
      </c>
    </row>
    <row r="87" spans="1:11" x14ac:dyDescent="0.25">
      <c r="A87" s="1">
        <v>4</v>
      </c>
      <c r="B87" t="s">
        <v>75</v>
      </c>
      <c r="C87" t="s">
        <v>38</v>
      </c>
      <c r="D87" t="s">
        <v>34</v>
      </c>
      <c r="E87" t="s">
        <v>75</v>
      </c>
      <c r="F87" t="s">
        <v>28</v>
      </c>
      <c r="G87" t="s">
        <v>75</v>
      </c>
      <c r="H87" t="s">
        <v>25</v>
      </c>
      <c r="I87" t="s">
        <v>39</v>
      </c>
      <c r="J87" t="s">
        <v>78</v>
      </c>
      <c r="K87">
        <v>3</v>
      </c>
    </row>
    <row r="88" spans="1:11" x14ac:dyDescent="0.25">
      <c r="A88" s="1">
        <v>1</v>
      </c>
      <c r="B88" t="s">
        <v>75</v>
      </c>
      <c r="C88" t="s">
        <v>30</v>
      </c>
      <c r="D88" t="s">
        <v>76</v>
      </c>
      <c r="E88" t="s">
        <v>77</v>
      </c>
      <c r="F88" t="s">
        <v>25</v>
      </c>
      <c r="G88" t="s">
        <v>77</v>
      </c>
      <c r="H88" t="s">
        <v>23</v>
      </c>
      <c r="I88" t="s">
        <v>30</v>
      </c>
      <c r="J88" t="s">
        <v>49</v>
      </c>
      <c r="K88">
        <v>2</v>
      </c>
    </row>
    <row r="89" spans="1:11" x14ac:dyDescent="0.25">
      <c r="A89" s="1">
        <v>1</v>
      </c>
      <c r="B89" t="s">
        <v>75</v>
      </c>
      <c r="C89" t="s">
        <v>30</v>
      </c>
      <c r="D89" t="s">
        <v>76</v>
      </c>
      <c r="E89" t="s">
        <v>77</v>
      </c>
      <c r="F89" t="s">
        <v>25</v>
      </c>
      <c r="G89" t="s">
        <v>77</v>
      </c>
      <c r="H89" t="s">
        <v>23</v>
      </c>
      <c r="I89" t="s">
        <v>30</v>
      </c>
      <c r="J89" t="s">
        <v>50</v>
      </c>
      <c r="K89">
        <v>2</v>
      </c>
    </row>
    <row r="90" spans="1:11" x14ac:dyDescent="0.25">
      <c r="A90" s="1">
        <v>2</v>
      </c>
      <c r="B90" t="s">
        <v>75</v>
      </c>
      <c r="C90" t="s">
        <v>30</v>
      </c>
      <c r="D90" t="s">
        <v>49</v>
      </c>
      <c r="E90" t="s">
        <v>77</v>
      </c>
      <c r="F90" t="s">
        <v>23</v>
      </c>
      <c r="G90" t="s">
        <v>75</v>
      </c>
      <c r="H90" t="s">
        <v>25</v>
      </c>
      <c r="I90" t="s">
        <v>30</v>
      </c>
      <c r="J90" t="s">
        <v>78</v>
      </c>
      <c r="K90">
        <v>1</v>
      </c>
    </row>
    <row r="91" spans="1:11" x14ac:dyDescent="0.25">
      <c r="A91" s="1">
        <v>2</v>
      </c>
      <c r="B91" t="s">
        <v>75</v>
      </c>
      <c r="C91" t="s">
        <v>30</v>
      </c>
      <c r="D91" t="s">
        <v>50</v>
      </c>
      <c r="E91" t="s">
        <v>77</v>
      </c>
      <c r="F91" t="s">
        <v>23</v>
      </c>
      <c r="G91" t="s">
        <v>75</v>
      </c>
      <c r="H91" t="s">
        <v>25</v>
      </c>
      <c r="I91" t="s">
        <v>30</v>
      </c>
      <c r="J91" t="s">
        <v>78</v>
      </c>
      <c r="K91">
        <v>1</v>
      </c>
    </row>
    <row r="92" spans="1:11" x14ac:dyDescent="0.25">
      <c r="A92" s="1">
        <v>3</v>
      </c>
      <c r="B92" t="s">
        <v>75</v>
      </c>
      <c r="C92" t="s">
        <v>30</v>
      </c>
      <c r="D92" t="s">
        <v>78</v>
      </c>
      <c r="E92" t="s">
        <v>75</v>
      </c>
      <c r="F92" t="s">
        <v>25</v>
      </c>
      <c r="G92" t="s">
        <v>75</v>
      </c>
      <c r="H92" t="s">
        <v>28</v>
      </c>
      <c r="I92" t="s">
        <v>30</v>
      </c>
      <c r="J92" t="s">
        <v>34</v>
      </c>
      <c r="K92">
        <v>2</v>
      </c>
    </row>
    <row r="93" spans="1:11" x14ac:dyDescent="0.25">
      <c r="A93" s="1">
        <v>3</v>
      </c>
      <c r="B93" t="s">
        <v>75</v>
      </c>
      <c r="C93" t="s">
        <v>30</v>
      </c>
      <c r="D93" t="s">
        <v>78</v>
      </c>
      <c r="E93" t="s">
        <v>75</v>
      </c>
      <c r="F93" t="s">
        <v>25</v>
      </c>
      <c r="G93" t="s">
        <v>75</v>
      </c>
      <c r="H93" t="s">
        <v>35</v>
      </c>
      <c r="I93" t="s">
        <v>30</v>
      </c>
      <c r="J93" t="s">
        <v>36</v>
      </c>
      <c r="K93">
        <v>2</v>
      </c>
    </row>
    <row r="94" spans="1:11" x14ac:dyDescent="0.25">
      <c r="A94" s="1">
        <v>4</v>
      </c>
      <c r="B94" t="s">
        <v>75</v>
      </c>
      <c r="C94" t="s">
        <v>30</v>
      </c>
      <c r="D94" t="s">
        <v>34</v>
      </c>
      <c r="E94" t="s">
        <v>75</v>
      </c>
      <c r="F94" t="s">
        <v>28</v>
      </c>
      <c r="G94" t="s">
        <v>75</v>
      </c>
      <c r="H94" t="s">
        <v>25</v>
      </c>
      <c r="I94" t="s">
        <v>79</v>
      </c>
      <c r="J94" t="s">
        <v>78</v>
      </c>
      <c r="K94">
        <v>3</v>
      </c>
    </row>
    <row r="95" spans="1:11" x14ac:dyDescent="0.25">
      <c r="A95" s="1">
        <v>4</v>
      </c>
      <c r="B95" t="s">
        <v>75</v>
      </c>
      <c r="C95" t="s">
        <v>30</v>
      </c>
      <c r="D95" t="s">
        <v>36</v>
      </c>
      <c r="E95" t="s">
        <v>75</v>
      </c>
      <c r="F95" t="s">
        <v>35</v>
      </c>
      <c r="G95" t="s">
        <v>75</v>
      </c>
      <c r="K95">
        <v>4</v>
      </c>
    </row>
    <row r="96" spans="1:11" x14ac:dyDescent="0.25">
      <c r="A96" s="1">
        <v>1</v>
      </c>
      <c r="B96" t="s">
        <v>75</v>
      </c>
      <c r="C96" t="s">
        <v>79</v>
      </c>
      <c r="D96" t="s">
        <v>78</v>
      </c>
      <c r="E96" t="s">
        <v>75</v>
      </c>
      <c r="F96" t="s">
        <v>25</v>
      </c>
      <c r="G96" t="s">
        <v>75</v>
      </c>
      <c r="H96" t="s">
        <v>35</v>
      </c>
      <c r="I96" t="s">
        <v>79</v>
      </c>
      <c r="J96" t="s">
        <v>36</v>
      </c>
      <c r="K96">
        <v>2</v>
      </c>
    </row>
    <row r="97" spans="1:11" x14ac:dyDescent="0.25">
      <c r="A97" s="1">
        <v>2</v>
      </c>
      <c r="B97" t="s">
        <v>75</v>
      </c>
      <c r="C97" t="s">
        <v>79</v>
      </c>
      <c r="D97" t="s">
        <v>36</v>
      </c>
      <c r="E97" t="s">
        <v>75</v>
      </c>
      <c r="F97" t="s">
        <v>35</v>
      </c>
      <c r="G97" t="s">
        <v>75</v>
      </c>
      <c r="K97">
        <v>4</v>
      </c>
    </row>
    <row r="98" spans="1:11" x14ac:dyDescent="0.25">
      <c r="A98" s="1">
        <v>1</v>
      </c>
      <c r="B98" t="s">
        <v>75</v>
      </c>
      <c r="C98" t="s">
        <v>45</v>
      </c>
      <c r="D98" t="s">
        <v>78</v>
      </c>
      <c r="E98" t="s">
        <v>75</v>
      </c>
      <c r="F98" t="s">
        <v>25</v>
      </c>
      <c r="G98" t="s">
        <v>75</v>
      </c>
      <c r="H98" t="s">
        <v>35</v>
      </c>
      <c r="I98" t="s">
        <v>45</v>
      </c>
      <c r="J98" t="s">
        <v>36</v>
      </c>
      <c r="K98">
        <v>3</v>
      </c>
    </row>
    <row r="99" spans="1:11" x14ac:dyDescent="0.25">
      <c r="A99" s="1">
        <v>2</v>
      </c>
      <c r="B99" t="s">
        <v>75</v>
      </c>
      <c r="C99" t="s">
        <v>45</v>
      </c>
      <c r="D99" t="s">
        <v>36</v>
      </c>
      <c r="E99" t="s">
        <v>75</v>
      </c>
      <c r="F99" t="s">
        <v>35</v>
      </c>
      <c r="G99" t="s">
        <v>75</v>
      </c>
      <c r="K99">
        <v>4</v>
      </c>
    </row>
    <row r="100" spans="1:11" x14ac:dyDescent="0.25">
      <c r="A100" s="1">
        <v>1</v>
      </c>
      <c r="B100" t="s">
        <v>75</v>
      </c>
      <c r="C100" t="s">
        <v>54</v>
      </c>
      <c r="D100" t="s">
        <v>78</v>
      </c>
      <c r="E100" t="s">
        <v>75</v>
      </c>
      <c r="F100" t="s">
        <v>25</v>
      </c>
      <c r="G100" t="s">
        <v>75</v>
      </c>
      <c r="H100" t="s">
        <v>35</v>
      </c>
      <c r="I100" t="s">
        <v>54</v>
      </c>
      <c r="J100" t="s">
        <v>36</v>
      </c>
      <c r="K100">
        <v>3</v>
      </c>
    </row>
    <row r="101" spans="1:11" x14ac:dyDescent="0.25">
      <c r="A101" s="1">
        <v>2</v>
      </c>
      <c r="B101" t="s">
        <v>75</v>
      </c>
      <c r="C101" t="s">
        <v>54</v>
      </c>
      <c r="D101" t="s">
        <v>36</v>
      </c>
      <c r="E101" t="s">
        <v>75</v>
      </c>
      <c r="F101" t="s">
        <v>35</v>
      </c>
      <c r="G101" t="s">
        <v>75</v>
      </c>
      <c r="K101">
        <v>4</v>
      </c>
    </row>
    <row r="102" spans="1:11" x14ac:dyDescent="0.25">
      <c r="A102" s="1">
        <v>1</v>
      </c>
      <c r="B102" t="s">
        <v>75</v>
      </c>
      <c r="C102" t="s">
        <v>80</v>
      </c>
      <c r="D102" t="s">
        <v>78</v>
      </c>
      <c r="E102" t="s">
        <v>75</v>
      </c>
      <c r="F102" t="s">
        <v>25</v>
      </c>
      <c r="G102" t="s">
        <v>75</v>
      </c>
      <c r="H102" t="s">
        <v>35</v>
      </c>
      <c r="I102" t="s">
        <v>80</v>
      </c>
      <c r="J102" t="s">
        <v>36</v>
      </c>
      <c r="K102">
        <v>3</v>
      </c>
    </row>
    <row r="103" spans="1:11" x14ac:dyDescent="0.25">
      <c r="A103" s="1">
        <v>2</v>
      </c>
      <c r="B103" t="s">
        <v>75</v>
      </c>
      <c r="C103" t="s">
        <v>80</v>
      </c>
      <c r="D103" t="s">
        <v>36</v>
      </c>
      <c r="E103" t="s">
        <v>75</v>
      </c>
      <c r="F103" t="s">
        <v>35</v>
      </c>
      <c r="G103" t="s">
        <v>75</v>
      </c>
      <c r="K103">
        <v>4</v>
      </c>
    </row>
    <row r="104" spans="1:11" x14ac:dyDescent="0.25">
      <c r="A104" s="1">
        <v>1</v>
      </c>
      <c r="B104" t="s">
        <v>75</v>
      </c>
      <c r="C104" t="s">
        <v>39</v>
      </c>
      <c r="D104" t="s">
        <v>78</v>
      </c>
      <c r="E104" t="s">
        <v>75</v>
      </c>
      <c r="F104" t="s">
        <v>25</v>
      </c>
      <c r="G104" t="s">
        <v>75</v>
      </c>
      <c r="H104" t="s">
        <v>35</v>
      </c>
      <c r="I104" t="s">
        <v>39</v>
      </c>
      <c r="J104" t="s">
        <v>36</v>
      </c>
      <c r="K104">
        <v>3</v>
      </c>
    </row>
    <row r="105" spans="1:11" x14ac:dyDescent="0.25">
      <c r="A105" s="1">
        <v>2</v>
      </c>
      <c r="B105" t="s">
        <v>75</v>
      </c>
      <c r="C105" t="s">
        <v>39</v>
      </c>
      <c r="D105" t="s">
        <v>36</v>
      </c>
      <c r="E105" t="s">
        <v>75</v>
      </c>
      <c r="F105" t="s">
        <v>35</v>
      </c>
      <c r="G105" t="s">
        <v>75</v>
      </c>
      <c r="K105">
        <v>4</v>
      </c>
    </row>
  </sheetData>
  <autoFilter ref="B1:K105" xr:uid="{00000000-0009-0000-0000-000001000000}"/>
  <conditionalFormatting sqref="M1:N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A9" sqref="A9:E10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5.7109375" bestFit="1" customWidth="1"/>
    <col min="4" max="4" width="5.7109375" customWidth="1"/>
    <col min="5" max="5" width="30.140625" bestFit="1" customWidth="1"/>
    <col min="6" max="6" width="35" bestFit="1" customWidth="1"/>
    <col min="7" max="7" width="16.140625" customWidth="1"/>
    <col min="8" max="8" width="22.5703125" bestFit="1" customWidth="1"/>
    <col min="9" max="9" width="15.42578125" bestFit="1" customWidth="1"/>
  </cols>
  <sheetData>
    <row r="1" spans="1:9" x14ac:dyDescent="0.25">
      <c r="A1" s="2" t="s">
        <v>8</v>
      </c>
      <c r="B1" s="2" t="s">
        <v>9</v>
      </c>
      <c r="C1" s="2" t="s">
        <v>10</v>
      </c>
      <c r="D1" s="2" t="s">
        <v>12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</row>
    <row r="2" spans="1:9" x14ac:dyDescent="0.25">
      <c r="A2" t="s">
        <v>30</v>
      </c>
      <c r="B2" t="s">
        <v>49</v>
      </c>
      <c r="C2" t="s">
        <v>24</v>
      </c>
      <c r="D2" t="s">
        <v>19</v>
      </c>
      <c r="E2">
        <v>50</v>
      </c>
      <c r="F2">
        <v>10</v>
      </c>
      <c r="G2" t="s">
        <v>62</v>
      </c>
      <c r="H2">
        <v>3.3000000000000002E-2</v>
      </c>
      <c r="I2">
        <v>0.88</v>
      </c>
    </row>
    <row r="3" spans="1:9" x14ac:dyDescent="0.25">
      <c r="A3" t="s">
        <v>30</v>
      </c>
      <c r="B3" t="s">
        <v>49</v>
      </c>
      <c r="C3" t="s">
        <v>77</v>
      </c>
      <c r="D3" t="s">
        <v>75</v>
      </c>
      <c r="E3">
        <v>30</v>
      </c>
      <c r="F3">
        <v>10</v>
      </c>
      <c r="G3" t="s">
        <v>62</v>
      </c>
      <c r="H3">
        <v>3.3000000000000002E-2</v>
      </c>
      <c r="I3">
        <v>1</v>
      </c>
    </row>
    <row r="4" spans="1:9" x14ac:dyDescent="0.25">
      <c r="A4" t="s">
        <v>30</v>
      </c>
      <c r="B4" t="s">
        <v>50</v>
      </c>
      <c r="C4" t="s">
        <v>24</v>
      </c>
      <c r="D4" t="s">
        <v>19</v>
      </c>
      <c r="E4">
        <v>88</v>
      </c>
      <c r="F4">
        <v>10</v>
      </c>
      <c r="G4" t="s">
        <v>63</v>
      </c>
      <c r="H4">
        <v>3.7999999999999999E-2</v>
      </c>
      <c r="I4">
        <v>0.88</v>
      </c>
    </row>
    <row r="5" spans="1:9" x14ac:dyDescent="0.25">
      <c r="A5" t="s">
        <v>30</v>
      </c>
      <c r="B5" t="s">
        <v>50</v>
      </c>
      <c r="C5" t="s">
        <v>77</v>
      </c>
      <c r="D5" t="s">
        <v>75</v>
      </c>
      <c r="E5">
        <v>60</v>
      </c>
      <c r="F5">
        <v>10</v>
      </c>
      <c r="G5" t="s">
        <v>63</v>
      </c>
      <c r="H5">
        <v>3.7999999999999999E-2</v>
      </c>
      <c r="I5">
        <v>1</v>
      </c>
    </row>
    <row r="6" spans="1:9" x14ac:dyDescent="0.25">
      <c r="A6" t="s">
        <v>20</v>
      </c>
      <c r="B6" t="s">
        <v>31</v>
      </c>
      <c r="C6" t="s">
        <v>24</v>
      </c>
      <c r="D6" t="s">
        <v>19</v>
      </c>
      <c r="E6">
        <v>103</v>
      </c>
      <c r="F6">
        <v>10</v>
      </c>
      <c r="G6" t="s">
        <v>64</v>
      </c>
      <c r="H6">
        <v>0.1646</v>
      </c>
      <c r="I6">
        <v>0.88</v>
      </c>
    </row>
    <row r="7" spans="1:9" x14ac:dyDescent="0.25">
      <c r="A7" t="s">
        <v>20</v>
      </c>
      <c r="B7" t="s">
        <v>32</v>
      </c>
      <c r="C7" t="s">
        <v>24</v>
      </c>
      <c r="D7" t="s">
        <v>19</v>
      </c>
      <c r="E7">
        <v>118</v>
      </c>
      <c r="F7">
        <v>10</v>
      </c>
      <c r="G7" t="s">
        <v>65</v>
      </c>
      <c r="H7">
        <v>0.13189999999999999</v>
      </c>
      <c r="I7">
        <v>0.88</v>
      </c>
    </row>
    <row r="8" spans="1:9" x14ac:dyDescent="0.25">
      <c r="A8" t="s">
        <v>20</v>
      </c>
      <c r="B8" t="s">
        <v>21</v>
      </c>
      <c r="D8" t="s">
        <v>24</v>
      </c>
      <c r="E8">
        <v>226</v>
      </c>
      <c r="F8">
        <v>10</v>
      </c>
      <c r="G8" t="s">
        <v>66</v>
      </c>
      <c r="H8">
        <v>7.4499999999999997E-2</v>
      </c>
      <c r="I8">
        <v>1</v>
      </c>
    </row>
    <row r="9" spans="1:9" x14ac:dyDescent="0.25">
      <c r="A9" t="s">
        <v>38</v>
      </c>
      <c r="B9" t="s">
        <v>51</v>
      </c>
      <c r="C9" t="s">
        <v>24</v>
      </c>
      <c r="D9" t="s">
        <v>19</v>
      </c>
      <c r="E9">
        <v>205</v>
      </c>
      <c r="F9">
        <v>10</v>
      </c>
      <c r="G9" t="s">
        <v>67</v>
      </c>
      <c r="H9">
        <v>0.05</v>
      </c>
      <c r="I9">
        <v>0.88</v>
      </c>
    </row>
    <row r="10" spans="1:9" x14ac:dyDescent="0.25">
      <c r="A10" t="s">
        <v>38</v>
      </c>
      <c r="B10" t="s">
        <v>51</v>
      </c>
      <c r="C10" t="s">
        <v>77</v>
      </c>
      <c r="D10" t="s">
        <v>75</v>
      </c>
      <c r="E10">
        <v>180</v>
      </c>
      <c r="F10">
        <v>10</v>
      </c>
      <c r="G10" t="s">
        <v>67</v>
      </c>
      <c r="H10">
        <v>0.05</v>
      </c>
      <c r="I10">
        <v>1</v>
      </c>
    </row>
    <row r="11" spans="1:9" x14ac:dyDescent="0.25">
      <c r="A11" t="s">
        <v>41</v>
      </c>
      <c r="B11" t="s">
        <v>43</v>
      </c>
      <c r="C11" t="s">
        <v>24</v>
      </c>
      <c r="D11" t="s">
        <v>19</v>
      </c>
      <c r="E11">
        <v>64</v>
      </c>
      <c r="F11">
        <v>10</v>
      </c>
      <c r="G11" t="s">
        <v>68</v>
      </c>
      <c r="H11">
        <v>5.2999999999999999E-2</v>
      </c>
      <c r="I11">
        <v>0.88</v>
      </c>
    </row>
    <row r="12" spans="1:9" x14ac:dyDescent="0.25">
      <c r="A12" t="s">
        <v>41</v>
      </c>
      <c r="B12" t="s">
        <v>44</v>
      </c>
      <c r="C12" t="s">
        <v>24</v>
      </c>
      <c r="D12" t="s">
        <v>19</v>
      </c>
      <c r="E12">
        <v>112</v>
      </c>
      <c r="F12">
        <v>10</v>
      </c>
      <c r="G12" t="s">
        <v>69</v>
      </c>
      <c r="H12">
        <v>0.1101</v>
      </c>
      <c r="I12">
        <v>0.88</v>
      </c>
    </row>
    <row r="13" spans="1:9" x14ac:dyDescent="0.25">
      <c r="A13" t="s">
        <v>41</v>
      </c>
      <c r="B13" t="s">
        <v>42</v>
      </c>
      <c r="D13" t="s">
        <v>24</v>
      </c>
      <c r="E13">
        <v>150</v>
      </c>
      <c r="F13">
        <v>10</v>
      </c>
      <c r="G13" t="s">
        <v>70</v>
      </c>
      <c r="H13">
        <v>2.98E-2</v>
      </c>
      <c r="I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>
      <selection activeCell="I32" sqref="I32"/>
    </sheetView>
  </sheetViews>
  <sheetFormatPr defaultRowHeight="15" x14ac:dyDescent="0.25"/>
  <cols>
    <col min="1" max="1" width="13.140625" bestFit="1" customWidth="1"/>
    <col min="2" max="2" width="16.85546875" customWidth="1"/>
    <col min="3" max="3" width="5.7109375" bestFit="1" customWidth="1"/>
    <col min="4" max="4" width="16.85546875" bestFit="1" customWidth="1"/>
    <col min="5" max="5" width="24.28515625" bestFit="1" customWidth="1"/>
    <col min="6" max="6" width="23.7109375" bestFit="1" customWidth="1"/>
  </cols>
  <sheetData>
    <row r="1" spans="1:9" x14ac:dyDescent="0.25">
      <c r="A1" s="2" t="s">
        <v>8</v>
      </c>
      <c r="B1" s="2" t="s">
        <v>9</v>
      </c>
      <c r="C1" s="2" t="s">
        <v>10</v>
      </c>
      <c r="D1" s="2" t="s">
        <v>71</v>
      </c>
      <c r="E1" s="2" t="s">
        <v>72</v>
      </c>
      <c r="F1" s="2" t="s">
        <v>73</v>
      </c>
    </row>
    <row r="2" spans="1:9" x14ac:dyDescent="0.25">
      <c r="A2" t="s">
        <v>52</v>
      </c>
      <c r="B2" t="s">
        <v>33</v>
      </c>
      <c r="C2" t="s">
        <v>19</v>
      </c>
      <c r="D2">
        <v>99999</v>
      </c>
      <c r="E2">
        <v>1000</v>
      </c>
      <c r="F2">
        <v>500</v>
      </c>
      <c r="G2">
        <f>E2-F2</f>
        <v>500</v>
      </c>
      <c r="H2" t="s">
        <v>160</v>
      </c>
      <c r="I2" t="s">
        <v>161</v>
      </c>
    </row>
    <row r="3" spans="1:9" x14ac:dyDescent="0.25">
      <c r="A3" t="s">
        <v>30</v>
      </c>
      <c r="B3" t="s">
        <v>26</v>
      </c>
      <c r="C3" t="s">
        <v>24</v>
      </c>
      <c r="D3">
        <v>50000</v>
      </c>
      <c r="E3">
        <v>50000</v>
      </c>
      <c r="F3">
        <v>25000</v>
      </c>
      <c r="G3">
        <f t="shared" ref="G3:G30" si="0">E3-F3</f>
        <v>25000</v>
      </c>
      <c r="H3" t="s">
        <v>27</v>
      </c>
      <c r="I3" t="s">
        <v>162</v>
      </c>
    </row>
    <row r="4" spans="1:9" x14ac:dyDescent="0.25">
      <c r="A4" t="s">
        <v>30</v>
      </c>
      <c r="B4" t="s">
        <v>48</v>
      </c>
      <c r="C4" t="s">
        <v>24</v>
      </c>
      <c r="D4">
        <v>30000</v>
      </c>
      <c r="E4">
        <v>30000</v>
      </c>
      <c r="F4">
        <v>10000</v>
      </c>
      <c r="G4">
        <f t="shared" si="0"/>
        <v>20000</v>
      </c>
      <c r="H4" t="s">
        <v>27</v>
      </c>
      <c r="I4" t="s">
        <v>162</v>
      </c>
    </row>
    <row r="5" spans="1:9" x14ac:dyDescent="0.25">
      <c r="A5" t="s">
        <v>30</v>
      </c>
      <c r="B5" t="s">
        <v>33</v>
      </c>
      <c r="C5" t="s">
        <v>19</v>
      </c>
      <c r="D5">
        <v>30000</v>
      </c>
      <c r="E5">
        <v>30000</v>
      </c>
      <c r="F5">
        <v>2000</v>
      </c>
      <c r="G5">
        <f t="shared" si="0"/>
        <v>28000</v>
      </c>
      <c r="H5" t="s">
        <v>27</v>
      </c>
      <c r="I5" t="s">
        <v>163</v>
      </c>
    </row>
    <row r="6" spans="1:9" x14ac:dyDescent="0.25">
      <c r="A6" t="s">
        <v>30</v>
      </c>
      <c r="B6" t="s">
        <v>76</v>
      </c>
      <c r="C6" t="s">
        <v>77</v>
      </c>
      <c r="D6">
        <v>50000</v>
      </c>
      <c r="E6">
        <v>50000</v>
      </c>
      <c r="F6">
        <v>3000</v>
      </c>
      <c r="G6">
        <f t="shared" si="0"/>
        <v>47000</v>
      </c>
      <c r="H6" t="s">
        <v>27</v>
      </c>
      <c r="I6" t="s">
        <v>164</v>
      </c>
    </row>
    <row r="7" spans="1:9" x14ac:dyDescent="0.25">
      <c r="A7" t="s">
        <v>30</v>
      </c>
      <c r="B7" t="s">
        <v>78</v>
      </c>
      <c r="C7" t="s">
        <v>75</v>
      </c>
      <c r="D7">
        <v>10000</v>
      </c>
      <c r="E7">
        <v>10000</v>
      </c>
      <c r="F7">
        <v>5000</v>
      </c>
      <c r="G7">
        <f t="shared" si="0"/>
        <v>5000</v>
      </c>
      <c r="H7" t="s">
        <v>27</v>
      </c>
      <c r="I7" t="s">
        <v>165</v>
      </c>
    </row>
    <row r="8" spans="1:9" x14ac:dyDescent="0.25">
      <c r="A8" t="s">
        <v>80</v>
      </c>
      <c r="B8" t="s">
        <v>78</v>
      </c>
      <c r="C8" t="s">
        <v>75</v>
      </c>
      <c r="D8">
        <v>99999</v>
      </c>
      <c r="E8">
        <v>1000</v>
      </c>
      <c r="F8">
        <v>500</v>
      </c>
      <c r="G8">
        <f t="shared" si="0"/>
        <v>500</v>
      </c>
      <c r="H8" t="s">
        <v>160</v>
      </c>
      <c r="I8" t="s">
        <v>161</v>
      </c>
    </row>
    <row r="9" spans="1:9" x14ac:dyDescent="0.25">
      <c r="A9" t="s">
        <v>54</v>
      </c>
      <c r="B9" t="s">
        <v>33</v>
      </c>
      <c r="C9" t="s">
        <v>19</v>
      </c>
      <c r="D9">
        <v>3000</v>
      </c>
      <c r="E9">
        <v>1000</v>
      </c>
      <c r="F9">
        <v>500</v>
      </c>
      <c r="G9">
        <f t="shared" si="0"/>
        <v>500</v>
      </c>
      <c r="H9" t="s">
        <v>160</v>
      </c>
      <c r="I9" t="s">
        <v>161</v>
      </c>
    </row>
    <row r="10" spans="1:9" x14ac:dyDescent="0.25">
      <c r="A10" t="s">
        <v>54</v>
      </c>
      <c r="B10" t="s">
        <v>78</v>
      </c>
      <c r="C10" t="s">
        <v>75</v>
      </c>
      <c r="D10">
        <v>3000</v>
      </c>
      <c r="E10">
        <v>1000</v>
      </c>
      <c r="F10">
        <v>500</v>
      </c>
      <c r="G10">
        <f t="shared" si="0"/>
        <v>500</v>
      </c>
      <c r="H10" t="s">
        <v>160</v>
      </c>
      <c r="I10" t="s">
        <v>161</v>
      </c>
    </row>
    <row r="11" spans="1:9" x14ac:dyDescent="0.25">
      <c r="A11" t="s">
        <v>98</v>
      </c>
      <c r="B11" t="s">
        <v>33</v>
      </c>
      <c r="C11" t="s">
        <v>19</v>
      </c>
      <c r="D11">
        <v>25000</v>
      </c>
      <c r="E11">
        <v>20000</v>
      </c>
      <c r="F11">
        <v>12500</v>
      </c>
      <c r="G11">
        <f t="shared" si="0"/>
        <v>7500</v>
      </c>
      <c r="H11" t="s">
        <v>27</v>
      </c>
      <c r="I11" t="s">
        <v>183</v>
      </c>
    </row>
    <row r="12" spans="1:9" x14ac:dyDescent="0.25">
      <c r="A12" t="s">
        <v>20</v>
      </c>
      <c r="B12" t="s">
        <v>26</v>
      </c>
      <c r="C12" t="s">
        <v>24</v>
      </c>
      <c r="D12">
        <v>120000</v>
      </c>
      <c r="E12">
        <v>60000</v>
      </c>
      <c r="F12">
        <v>30000</v>
      </c>
      <c r="G12">
        <f t="shared" si="0"/>
        <v>30000</v>
      </c>
      <c r="H12" t="s">
        <v>27</v>
      </c>
      <c r="I12" t="s">
        <v>157</v>
      </c>
    </row>
    <row r="13" spans="1:9" x14ac:dyDescent="0.25">
      <c r="A13" t="s">
        <v>20</v>
      </c>
      <c r="B13" t="s">
        <v>56</v>
      </c>
      <c r="C13" t="s">
        <v>55</v>
      </c>
      <c r="D13">
        <v>999999</v>
      </c>
      <c r="E13">
        <v>999999</v>
      </c>
      <c r="F13">
        <v>999999</v>
      </c>
      <c r="G13">
        <f t="shared" si="0"/>
        <v>0</v>
      </c>
      <c r="H13" t="s">
        <v>27</v>
      </c>
      <c r="I13" t="s">
        <v>158</v>
      </c>
    </row>
    <row r="14" spans="1:9" x14ac:dyDescent="0.25">
      <c r="A14" t="s">
        <v>20</v>
      </c>
      <c r="B14" t="s">
        <v>33</v>
      </c>
      <c r="C14" t="s">
        <v>19</v>
      </c>
      <c r="D14">
        <v>30000</v>
      </c>
      <c r="E14">
        <v>30000</v>
      </c>
      <c r="F14">
        <v>15000</v>
      </c>
      <c r="G14">
        <f t="shared" si="0"/>
        <v>15000</v>
      </c>
      <c r="H14" t="s">
        <v>27</v>
      </c>
      <c r="I14" t="s">
        <v>159</v>
      </c>
    </row>
    <row r="15" spans="1:9" x14ac:dyDescent="0.25">
      <c r="A15" t="s">
        <v>47</v>
      </c>
      <c r="B15" t="s">
        <v>26</v>
      </c>
      <c r="C15" t="s">
        <v>24</v>
      </c>
      <c r="D15">
        <v>999999</v>
      </c>
      <c r="E15">
        <v>999999</v>
      </c>
      <c r="F15">
        <v>999999</v>
      </c>
      <c r="G15">
        <f t="shared" si="0"/>
        <v>0</v>
      </c>
      <c r="H15" t="s">
        <v>27</v>
      </c>
      <c r="I15" t="s">
        <v>166</v>
      </c>
    </row>
    <row r="16" spans="1:9" x14ac:dyDescent="0.25">
      <c r="A16" t="s">
        <v>47</v>
      </c>
      <c r="B16" t="s">
        <v>76</v>
      </c>
      <c r="C16" t="s">
        <v>77</v>
      </c>
      <c r="D16">
        <v>999999</v>
      </c>
      <c r="E16">
        <v>999999</v>
      </c>
      <c r="F16">
        <v>999999</v>
      </c>
      <c r="G16">
        <f t="shared" si="0"/>
        <v>0</v>
      </c>
      <c r="H16" t="s">
        <v>27</v>
      </c>
      <c r="I16" t="s">
        <v>166</v>
      </c>
    </row>
    <row r="17" spans="1:9" x14ac:dyDescent="0.25">
      <c r="A17" t="s">
        <v>45</v>
      </c>
      <c r="B17" t="s">
        <v>56</v>
      </c>
      <c r="C17" t="s">
        <v>55</v>
      </c>
      <c r="D17">
        <v>15000</v>
      </c>
      <c r="E17">
        <v>10000</v>
      </c>
      <c r="F17">
        <v>1000</v>
      </c>
      <c r="G17">
        <f t="shared" si="0"/>
        <v>9000</v>
      </c>
      <c r="H17" t="s">
        <v>160</v>
      </c>
      <c r="I17" t="s">
        <v>167</v>
      </c>
    </row>
    <row r="18" spans="1:9" x14ac:dyDescent="0.25">
      <c r="A18" t="s">
        <v>40</v>
      </c>
      <c r="B18" t="s">
        <v>33</v>
      </c>
      <c r="C18" t="s">
        <v>19</v>
      </c>
      <c r="D18">
        <v>99999</v>
      </c>
      <c r="E18">
        <v>50000</v>
      </c>
      <c r="F18">
        <v>20000</v>
      </c>
      <c r="G18">
        <f t="shared" si="0"/>
        <v>30000</v>
      </c>
    </row>
    <row r="19" spans="1:9" x14ac:dyDescent="0.25">
      <c r="A19" t="s">
        <v>45</v>
      </c>
      <c r="B19" t="s">
        <v>33</v>
      </c>
      <c r="C19" t="s">
        <v>19</v>
      </c>
      <c r="D19">
        <v>35000</v>
      </c>
      <c r="E19">
        <v>25000</v>
      </c>
      <c r="F19">
        <v>8000</v>
      </c>
      <c r="G19">
        <f t="shared" si="0"/>
        <v>17000</v>
      </c>
      <c r="H19" t="s">
        <v>27</v>
      </c>
      <c r="I19" t="s">
        <v>167</v>
      </c>
    </row>
    <row r="20" spans="1:9" x14ac:dyDescent="0.25">
      <c r="A20" t="s">
        <v>45</v>
      </c>
      <c r="B20" t="s">
        <v>78</v>
      </c>
      <c r="C20" t="s">
        <v>75</v>
      </c>
      <c r="D20">
        <v>25000</v>
      </c>
      <c r="E20">
        <v>20000</v>
      </c>
      <c r="F20">
        <v>5000</v>
      </c>
      <c r="G20">
        <f t="shared" si="0"/>
        <v>15000</v>
      </c>
      <c r="H20" t="s">
        <v>27</v>
      </c>
      <c r="I20" t="s">
        <v>172</v>
      </c>
    </row>
    <row r="21" spans="1:9" x14ac:dyDescent="0.25">
      <c r="A21" t="s">
        <v>39</v>
      </c>
      <c r="B21" t="s">
        <v>33</v>
      </c>
      <c r="C21" t="s">
        <v>19</v>
      </c>
      <c r="D21">
        <v>27000</v>
      </c>
      <c r="E21">
        <v>18000</v>
      </c>
      <c r="F21">
        <v>2500</v>
      </c>
      <c r="G21">
        <f t="shared" si="0"/>
        <v>15500</v>
      </c>
      <c r="H21" t="s">
        <v>27</v>
      </c>
      <c r="I21" t="s">
        <v>169</v>
      </c>
    </row>
    <row r="22" spans="1:9" x14ac:dyDescent="0.25">
      <c r="A22" t="s">
        <v>39</v>
      </c>
      <c r="B22" t="s">
        <v>78</v>
      </c>
      <c r="C22" t="s">
        <v>75</v>
      </c>
      <c r="D22">
        <v>5000</v>
      </c>
      <c r="E22">
        <v>3000</v>
      </c>
      <c r="F22">
        <v>1500</v>
      </c>
      <c r="G22">
        <f t="shared" si="0"/>
        <v>1500</v>
      </c>
      <c r="H22" t="s">
        <v>168</v>
      </c>
      <c r="I22" t="s">
        <v>170</v>
      </c>
    </row>
    <row r="23" spans="1:9" x14ac:dyDescent="0.25">
      <c r="A23" t="s">
        <v>46</v>
      </c>
      <c r="B23" t="s">
        <v>33</v>
      </c>
      <c r="C23" t="s">
        <v>19</v>
      </c>
      <c r="D23">
        <v>22000</v>
      </c>
      <c r="E23">
        <v>15000</v>
      </c>
      <c r="F23">
        <v>5000</v>
      </c>
      <c r="G23">
        <f t="shared" si="0"/>
        <v>10000</v>
      </c>
      <c r="H23" t="s">
        <v>27</v>
      </c>
      <c r="I23" t="s">
        <v>171</v>
      </c>
    </row>
    <row r="24" spans="1:9" x14ac:dyDescent="0.25">
      <c r="A24" t="s">
        <v>38</v>
      </c>
      <c r="B24" t="s">
        <v>48</v>
      </c>
      <c r="C24" t="s">
        <v>24</v>
      </c>
      <c r="D24">
        <v>86000</v>
      </c>
      <c r="E24">
        <v>50000</v>
      </c>
      <c r="F24">
        <v>25000</v>
      </c>
      <c r="G24">
        <f t="shared" si="0"/>
        <v>25000</v>
      </c>
      <c r="H24" t="s">
        <v>27</v>
      </c>
      <c r="I24" t="s">
        <v>164</v>
      </c>
    </row>
    <row r="25" spans="1:9" x14ac:dyDescent="0.25">
      <c r="A25" t="s">
        <v>38</v>
      </c>
      <c r="B25" t="s">
        <v>56</v>
      </c>
      <c r="C25" t="s">
        <v>55</v>
      </c>
      <c r="D25">
        <v>10000</v>
      </c>
      <c r="E25">
        <v>8000</v>
      </c>
      <c r="F25">
        <v>4000</v>
      </c>
      <c r="G25">
        <f t="shared" si="0"/>
        <v>4000</v>
      </c>
      <c r="H25" t="s">
        <v>168</v>
      </c>
    </row>
    <row r="26" spans="1:9" x14ac:dyDescent="0.25">
      <c r="A26" t="s">
        <v>38</v>
      </c>
      <c r="B26" t="s">
        <v>76</v>
      </c>
      <c r="C26" t="s">
        <v>77</v>
      </c>
      <c r="D26">
        <v>50000</v>
      </c>
      <c r="E26">
        <v>50000</v>
      </c>
      <c r="F26">
        <v>10000</v>
      </c>
      <c r="G26">
        <f t="shared" si="0"/>
        <v>40000</v>
      </c>
      <c r="H26" t="s">
        <v>168</v>
      </c>
    </row>
    <row r="27" spans="1:9" x14ac:dyDescent="0.25">
      <c r="A27" t="s">
        <v>38</v>
      </c>
      <c r="B27" t="s">
        <v>33</v>
      </c>
      <c r="C27" t="s">
        <v>19</v>
      </c>
      <c r="D27">
        <v>20000</v>
      </c>
      <c r="E27">
        <v>10000</v>
      </c>
      <c r="F27">
        <v>5000</v>
      </c>
      <c r="G27">
        <f t="shared" si="0"/>
        <v>5000</v>
      </c>
      <c r="H27" t="s">
        <v>27</v>
      </c>
      <c r="I27" t="s">
        <v>173</v>
      </c>
    </row>
    <row r="28" spans="1:9" x14ac:dyDescent="0.25">
      <c r="A28" t="s">
        <v>38</v>
      </c>
      <c r="B28" t="s">
        <v>78</v>
      </c>
      <c r="C28" t="s">
        <v>75</v>
      </c>
      <c r="D28">
        <v>20000</v>
      </c>
      <c r="E28">
        <v>10000</v>
      </c>
      <c r="F28">
        <v>5000</v>
      </c>
      <c r="G28">
        <f t="shared" si="0"/>
        <v>5000</v>
      </c>
      <c r="H28" t="s">
        <v>27</v>
      </c>
      <c r="I28" t="s">
        <v>173</v>
      </c>
    </row>
    <row r="29" spans="1:9" x14ac:dyDescent="0.25">
      <c r="A29" t="s">
        <v>41</v>
      </c>
      <c r="B29" t="s">
        <v>26</v>
      </c>
      <c r="C29" t="s">
        <v>24</v>
      </c>
      <c r="D29">
        <v>115000</v>
      </c>
      <c r="E29">
        <v>50000</v>
      </c>
      <c r="F29">
        <v>10000</v>
      </c>
      <c r="G29">
        <f t="shared" si="0"/>
        <v>40000</v>
      </c>
      <c r="H29" t="s">
        <v>168</v>
      </c>
    </row>
    <row r="30" spans="1:9" x14ac:dyDescent="0.25">
      <c r="A30" t="s">
        <v>41</v>
      </c>
      <c r="B30" t="s">
        <v>185</v>
      </c>
      <c r="C30" t="s">
        <v>19</v>
      </c>
      <c r="D30">
        <v>3600</v>
      </c>
      <c r="E30">
        <v>3000</v>
      </c>
      <c r="F30">
        <v>500</v>
      </c>
      <c r="G30">
        <f t="shared" si="0"/>
        <v>2500</v>
      </c>
      <c r="H30" t="s">
        <v>168</v>
      </c>
      <c r="I30" t="s">
        <v>182</v>
      </c>
    </row>
    <row r="31" spans="1:9" x14ac:dyDescent="0.25">
      <c r="A31" t="s">
        <v>41</v>
      </c>
      <c r="B31" t="s">
        <v>186</v>
      </c>
      <c r="C31" t="s">
        <v>19</v>
      </c>
      <c r="D31">
        <v>1500</v>
      </c>
      <c r="E31">
        <v>1000</v>
      </c>
      <c r="F31">
        <v>500</v>
      </c>
      <c r="G31">
        <f t="shared" ref="G31:G34" si="1">E31-F31</f>
        <v>500</v>
      </c>
      <c r="H31" t="s">
        <v>168</v>
      </c>
      <c r="I31" t="s">
        <v>187</v>
      </c>
    </row>
    <row r="32" spans="1:9" x14ac:dyDescent="0.25">
      <c r="A32" t="s">
        <v>79</v>
      </c>
      <c r="B32" t="s">
        <v>78</v>
      </c>
      <c r="C32" t="s">
        <v>75</v>
      </c>
      <c r="D32">
        <v>99999</v>
      </c>
      <c r="E32">
        <v>1000</v>
      </c>
      <c r="F32">
        <v>500</v>
      </c>
      <c r="G32">
        <f t="shared" si="1"/>
        <v>500</v>
      </c>
      <c r="H32" t="s">
        <v>160</v>
      </c>
      <c r="I32" t="s">
        <v>161</v>
      </c>
    </row>
    <row r="33" spans="1:9" x14ac:dyDescent="0.25">
      <c r="A33" t="s">
        <v>37</v>
      </c>
      <c r="B33" t="s">
        <v>33</v>
      </c>
      <c r="C33" t="s">
        <v>19</v>
      </c>
      <c r="D33">
        <v>30000</v>
      </c>
      <c r="E33">
        <v>15000</v>
      </c>
      <c r="F33">
        <v>5000</v>
      </c>
      <c r="G33">
        <f t="shared" si="1"/>
        <v>10000</v>
      </c>
      <c r="H33" t="s">
        <v>27</v>
      </c>
      <c r="I33" t="s">
        <v>167</v>
      </c>
    </row>
    <row r="34" spans="1:9" x14ac:dyDescent="0.25">
      <c r="A34" t="s">
        <v>53</v>
      </c>
      <c r="B34" t="s">
        <v>33</v>
      </c>
      <c r="C34" t="s">
        <v>19</v>
      </c>
      <c r="D34">
        <v>99999</v>
      </c>
      <c r="E34">
        <v>1000</v>
      </c>
      <c r="F34">
        <v>500</v>
      </c>
      <c r="G34">
        <f t="shared" si="1"/>
        <v>500</v>
      </c>
      <c r="H34" t="s">
        <v>160</v>
      </c>
      <c r="I34" t="s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>
      <selection activeCell="A20" sqref="A20"/>
    </sheetView>
  </sheetViews>
  <sheetFormatPr defaultRowHeight="15" x14ac:dyDescent="0.25"/>
  <cols>
    <col min="1" max="1" width="7.85546875" bestFit="1" customWidth="1"/>
    <col min="2" max="2" width="13.140625" bestFit="1" customWidth="1"/>
    <col min="3" max="3" width="16.5703125" bestFit="1" customWidth="1"/>
    <col min="4" max="4" width="13.28515625" bestFit="1" customWidth="1"/>
    <col min="5" max="5" width="25.5703125" bestFit="1" customWidth="1"/>
    <col min="6" max="6" width="8.28515625" bestFit="1" customWidth="1"/>
    <col min="7" max="7" width="18" bestFit="1" customWidth="1"/>
    <col min="8" max="8" width="17.7109375" bestFit="1" customWidth="1"/>
    <col min="9" max="9" width="19.28515625" bestFit="1" customWidth="1"/>
    <col min="10" max="10" width="20.140625" bestFit="1" customWidth="1"/>
    <col min="11" max="11" width="21.5703125" bestFit="1" customWidth="1"/>
  </cols>
  <sheetData>
    <row r="1" spans="1:11" x14ac:dyDescent="0.25">
      <c r="A1" s="5" t="s">
        <v>174</v>
      </c>
      <c r="B1" s="5" t="s">
        <v>8</v>
      </c>
      <c r="C1" s="5" t="s">
        <v>9</v>
      </c>
      <c r="D1" s="5" t="s">
        <v>14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</row>
    <row r="2" spans="1:11" x14ac:dyDescent="0.25">
      <c r="A2" t="s">
        <v>24</v>
      </c>
      <c r="B2" t="s">
        <v>20</v>
      </c>
      <c r="C2" t="s">
        <v>29</v>
      </c>
      <c r="D2" t="s">
        <v>30</v>
      </c>
      <c r="E2">
        <v>99</v>
      </c>
      <c r="F2">
        <v>5</v>
      </c>
      <c r="G2">
        <v>5000</v>
      </c>
      <c r="H2">
        <v>500</v>
      </c>
      <c r="I2">
        <v>5000</v>
      </c>
      <c r="J2">
        <v>400</v>
      </c>
      <c r="K2">
        <v>6000</v>
      </c>
    </row>
    <row r="3" spans="1:11" x14ac:dyDescent="0.25">
      <c r="A3" t="s">
        <v>24</v>
      </c>
      <c r="B3" t="s">
        <v>47</v>
      </c>
      <c r="C3" t="s">
        <v>29</v>
      </c>
      <c r="D3" t="s">
        <v>30</v>
      </c>
      <c r="E3">
        <v>99</v>
      </c>
      <c r="F3">
        <v>5</v>
      </c>
      <c r="G3">
        <v>5000</v>
      </c>
      <c r="H3">
        <v>500</v>
      </c>
      <c r="I3">
        <v>5000</v>
      </c>
      <c r="J3">
        <v>400</v>
      </c>
      <c r="K3">
        <v>6000</v>
      </c>
    </row>
    <row r="4" spans="1:11" x14ac:dyDescent="0.25">
      <c r="A4" t="s">
        <v>24</v>
      </c>
      <c r="B4" t="s">
        <v>47</v>
      </c>
      <c r="C4" t="s">
        <v>29</v>
      </c>
      <c r="D4" t="s">
        <v>38</v>
      </c>
      <c r="E4">
        <v>99</v>
      </c>
      <c r="F4">
        <v>5</v>
      </c>
      <c r="G4">
        <v>5000</v>
      </c>
      <c r="H4">
        <v>500</v>
      </c>
      <c r="I4">
        <v>5000</v>
      </c>
      <c r="J4">
        <v>400</v>
      </c>
      <c r="K4">
        <v>6000</v>
      </c>
    </row>
    <row r="5" spans="1:11" x14ac:dyDescent="0.25">
      <c r="A5" t="s">
        <v>55</v>
      </c>
      <c r="B5" t="s">
        <v>20</v>
      </c>
      <c r="C5" t="s">
        <v>29</v>
      </c>
      <c r="D5" t="s">
        <v>45</v>
      </c>
      <c r="E5">
        <v>99</v>
      </c>
      <c r="F5">
        <v>5</v>
      </c>
      <c r="G5">
        <v>5000</v>
      </c>
      <c r="H5">
        <v>500</v>
      </c>
      <c r="I5">
        <v>5000</v>
      </c>
      <c r="J5">
        <v>400</v>
      </c>
      <c r="K5">
        <v>6000</v>
      </c>
    </row>
    <row r="6" spans="1:11" x14ac:dyDescent="0.25">
      <c r="A6" t="s">
        <v>55</v>
      </c>
      <c r="B6" t="s">
        <v>20</v>
      </c>
      <c r="C6" t="s">
        <v>29</v>
      </c>
      <c r="D6" t="s">
        <v>38</v>
      </c>
      <c r="E6">
        <v>99</v>
      </c>
      <c r="F6">
        <v>5</v>
      </c>
      <c r="G6">
        <v>5000</v>
      </c>
      <c r="H6">
        <v>500</v>
      </c>
      <c r="I6">
        <v>5000</v>
      </c>
      <c r="J6">
        <v>400</v>
      </c>
      <c r="K6">
        <v>6000</v>
      </c>
    </row>
    <row r="7" spans="1:11" x14ac:dyDescent="0.25">
      <c r="A7" t="s">
        <v>77</v>
      </c>
      <c r="B7" t="s">
        <v>47</v>
      </c>
      <c r="C7" t="s">
        <v>29</v>
      </c>
      <c r="D7" t="s">
        <v>30</v>
      </c>
      <c r="E7">
        <v>99</v>
      </c>
      <c r="F7">
        <v>5</v>
      </c>
      <c r="G7">
        <v>5000</v>
      </c>
      <c r="H7">
        <v>500</v>
      </c>
      <c r="I7">
        <v>5000</v>
      </c>
      <c r="J7">
        <v>400</v>
      </c>
      <c r="K7">
        <v>6000</v>
      </c>
    </row>
    <row r="8" spans="1:11" x14ac:dyDescent="0.25">
      <c r="A8" t="s">
        <v>77</v>
      </c>
      <c r="B8" t="s">
        <v>47</v>
      </c>
      <c r="C8" t="s">
        <v>29</v>
      </c>
      <c r="D8" t="s">
        <v>38</v>
      </c>
      <c r="E8">
        <v>99</v>
      </c>
      <c r="F8">
        <v>5</v>
      </c>
      <c r="G8">
        <v>5000</v>
      </c>
      <c r="H8">
        <v>500</v>
      </c>
      <c r="I8">
        <v>5000</v>
      </c>
      <c r="J8">
        <v>400</v>
      </c>
      <c r="K8">
        <v>6000</v>
      </c>
    </row>
    <row r="9" spans="1:11" x14ac:dyDescent="0.25">
      <c r="A9" t="s">
        <v>19</v>
      </c>
      <c r="B9" t="s">
        <v>98</v>
      </c>
      <c r="C9" t="s">
        <v>29</v>
      </c>
      <c r="D9" t="s">
        <v>45</v>
      </c>
      <c r="E9">
        <v>99</v>
      </c>
      <c r="F9">
        <v>5</v>
      </c>
      <c r="G9">
        <v>5000</v>
      </c>
      <c r="H9">
        <v>500</v>
      </c>
      <c r="I9">
        <v>5000</v>
      </c>
      <c r="J9">
        <v>400</v>
      </c>
      <c r="K9">
        <v>6000</v>
      </c>
    </row>
    <row r="10" spans="1:11" x14ac:dyDescent="0.25">
      <c r="A10" t="s">
        <v>19</v>
      </c>
      <c r="B10" t="s">
        <v>98</v>
      </c>
      <c r="C10" t="s">
        <v>29</v>
      </c>
      <c r="D10" t="s">
        <v>39</v>
      </c>
      <c r="E10">
        <v>99</v>
      </c>
      <c r="F10">
        <v>5</v>
      </c>
      <c r="G10">
        <v>5000</v>
      </c>
      <c r="H10">
        <v>500</v>
      </c>
      <c r="I10">
        <v>5000</v>
      </c>
      <c r="J10">
        <v>400</v>
      </c>
      <c r="K10">
        <v>6000</v>
      </c>
    </row>
    <row r="11" spans="1:11" x14ac:dyDescent="0.25">
      <c r="A11" t="s">
        <v>19</v>
      </c>
      <c r="B11" t="s">
        <v>98</v>
      </c>
      <c r="C11" t="s">
        <v>29</v>
      </c>
      <c r="D11" t="s">
        <v>46</v>
      </c>
      <c r="E11">
        <v>99</v>
      </c>
      <c r="F11">
        <v>5</v>
      </c>
      <c r="G11">
        <v>5000</v>
      </c>
      <c r="H11">
        <v>500</v>
      </c>
      <c r="I11">
        <v>5000</v>
      </c>
      <c r="J11">
        <v>400</v>
      </c>
      <c r="K11">
        <v>6000</v>
      </c>
    </row>
    <row r="12" spans="1:11" x14ac:dyDescent="0.25">
      <c r="A12" t="s">
        <v>19</v>
      </c>
      <c r="B12" t="s">
        <v>20</v>
      </c>
      <c r="C12" t="s">
        <v>29</v>
      </c>
      <c r="D12" t="s">
        <v>30</v>
      </c>
      <c r="E12">
        <v>99</v>
      </c>
      <c r="F12">
        <v>5</v>
      </c>
      <c r="G12">
        <v>5000</v>
      </c>
      <c r="H12">
        <v>500</v>
      </c>
      <c r="I12">
        <v>5000</v>
      </c>
      <c r="J12">
        <v>400</v>
      </c>
      <c r="K12">
        <v>6000</v>
      </c>
    </row>
    <row r="13" spans="1:11" x14ac:dyDescent="0.25">
      <c r="A13" t="s">
        <v>19</v>
      </c>
      <c r="B13" t="s">
        <v>20</v>
      </c>
      <c r="C13" t="s">
        <v>29</v>
      </c>
      <c r="D13" t="s">
        <v>39</v>
      </c>
      <c r="E13">
        <v>99</v>
      </c>
      <c r="F13">
        <v>5</v>
      </c>
      <c r="G13">
        <v>5000</v>
      </c>
      <c r="H13">
        <v>500</v>
      </c>
      <c r="I13">
        <v>5000</v>
      </c>
      <c r="J13">
        <v>400</v>
      </c>
      <c r="K13">
        <v>6000</v>
      </c>
    </row>
    <row r="14" spans="1:11" x14ac:dyDescent="0.25">
      <c r="A14" t="s">
        <v>19</v>
      </c>
      <c r="B14" t="s">
        <v>20</v>
      </c>
      <c r="C14" t="s">
        <v>29</v>
      </c>
      <c r="D14" t="s">
        <v>38</v>
      </c>
      <c r="E14">
        <v>99</v>
      </c>
      <c r="F14">
        <v>5</v>
      </c>
      <c r="G14">
        <v>5000</v>
      </c>
      <c r="H14">
        <v>500</v>
      </c>
      <c r="I14">
        <v>5000</v>
      </c>
      <c r="J14">
        <v>400</v>
      </c>
      <c r="K14">
        <v>6000</v>
      </c>
    </row>
    <row r="15" spans="1:11" x14ac:dyDescent="0.25">
      <c r="A15" t="s">
        <v>19</v>
      </c>
      <c r="B15" t="s">
        <v>20</v>
      </c>
      <c r="C15" t="s">
        <v>29</v>
      </c>
      <c r="D15" t="s">
        <v>37</v>
      </c>
      <c r="E15">
        <v>99</v>
      </c>
      <c r="F15">
        <v>5</v>
      </c>
      <c r="G15">
        <v>5000</v>
      </c>
      <c r="H15">
        <v>500</v>
      </c>
      <c r="I15">
        <v>5000</v>
      </c>
      <c r="J15">
        <v>400</v>
      </c>
      <c r="K15">
        <v>6000</v>
      </c>
    </row>
    <row r="16" spans="1:11" x14ac:dyDescent="0.25">
      <c r="A16" t="s">
        <v>19</v>
      </c>
      <c r="B16" t="s">
        <v>20</v>
      </c>
      <c r="C16" t="s">
        <v>34</v>
      </c>
      <c r="D16" t="s">
        <v>40</v>
      </c>
      <c r="E16">
        <v>99</v>
      </c>
      <c r="F16">
        <v>1</v>
      </c>
      <c r="G16">
        <v>1</v>
      </c>
      <c r="H16">
        <v>1000</v>
      </c>
      <c r="I16">
        <v>500</v>
      </c>
      <c r="J16">
        <v>1000</v>
      </c>
      <c r="K16">
        <v>500</v>
      </c>
    </row>
    <row r="17" spans="1:11" x14ac:dyDescent="0.25">
      <c r="A17" t="s">
        <v>19</v>
      </c>
      <c r="B17" t="s">
        <v>38</v>
      </c>
      <c r="C17" t="s">
        <v>34</v>
      </c>
      <c r="D17" t="s">
        <v>52</v>
      </c>
      <c r="E17">
        <v>99</v>
      </c>
      <c r="F17">
        <v>1</v>
      </c>
      <c r="G17">
        <v>1</v>
      </c>
      <c r="H17">
        <v>1000</v>
      </c>
      <c r="I17">
        <v>500</v>
      </c>
      <c r="J17">
        <v>1000</v>
      </c>
      <c r="K17">
        <v>500</v>
      </c>
    </row>
    <row r="18" spans="1:11" x14ac:dyDescent="0.25">
      <c r="A18" t="s">
        <v>19</v>
      </c>
      <c r="B18" t="s">
        <v>38</v>
      </c>
      <c r="C18" t="s">
        <v>34</v>
      </c>
      <c r="D18" t="s">
        <v>54</v>
      </c>
      <c r="E18">
        <v>99</v>
      </c>
      <c r="F18">
        <v>1</v>
      </c>
      <c r="G18">
        <v>1</v>
      </c>
      <c r="H18">
        <v>1000</v>
      </c>
      <c r="I18">
        <v>500</v>
      </c>
      <c r="J18">
        <v>1000</v>
      </c>
      <c r="K18">
        <v>500</v>
      </c>
    </row>
    <row r="19" spans="1:11" x14ac:dyDescent="0.25">
      <c r="A19" t="s">
        <v>19</v>
      </c>
      <c r="B19" t="s">
        <v>38</v>
      </c>
      <c r="C19" t="s">
        <v>34</v>
      </c>
      <c r="D19" t="s">
        <v>53</v>
      </c>
      <c r="E19">
        <v>99</v>
      </c>
      <c r="F19">
        <v>1</v>
      </c>
      <c r="G19">
        <v>1</v>
      </c>
      <c r="H19">
        <v>1000</v>
      </c>
      <c r="I19">
        <v>500</v>
      </c>
      <c r="J19">
        <v>1000</v>
      </c>
      <c r="K19">
        <v>500</v>
      </c>
    </row>
    <row r="20" spans="1:11" x14ac:dyDescent="0.25">
      <c r="A20" t="s">
        <v>19</v>
      </c>
      <c r="B20" t="s">
        <v>41</v>
      </c>
      <c r="C20" t="s">
        <v>34</v>
      </c>
      <c r="D20" t="s">
        <v>98</v>
      </c>
      <c r="E20">
        <v>1</v>
      </c>
      <c r="F20">
        <v>1</v>
      </c>
      <c r="G20">
        <v>675</v>
      </c>
      <c r="H20">
        <v>675</v>
      </c>
      <c r="I20">
        <v>60</v>
      </c>
      <c r="J20">
        <v>675</v>
      </c>
      <c r="K20">
        <v>60</v>
      </c>
    </row>
    <row r="21" spans="1:11" x14ac:dyDescent="0.25">
      <c r="A21" t="s">
        <v>75</v>
      </c>
      <c r="B21" t="s">
        <v>30</v>
      </c>
      <c r="C21" t="s">
        <v>34</v>
      </c>
      <c r="D21" t="s">
        <v>79</v>
      </c>
      <c r="E21">
        <v>99</v>
      </c>
      <c r="F21">
        <v>1</v>
      </c>
      <c r="G21">
        <v>1</v>
      </c>
      <c r="H21">
        <v>1000</v>
      </c>
      <c r="I21">
        <v>500</v>
      </c>
      <c r="J21">
        <v>1000</v>
      </c>
      <c r="K21">
        <v>500</v>
      </c>
    </row>
    <row r="22" spans="1:11" x14ac:dyDescent="0.25">
      <c r="A22" t="s">
        <v>75</v>
      </c>
      <c r="B22" t="s">
        <v>38</v>
      </c>
      <c r="C22" t="s">
        <v>29</v>
      </c>
      <c r="D22" t="s">
        <v>45</v>
      </c>
      <c r="E22">
        <v>99</v>
      </c>
      <c r="F22">
        <v>1</v>
      </c>
      <c r="G22">
        <v>5000</v>
      </c>
      <c r="H22">
        <v>500</v>
      </c>
      <c r="I22">
        <v>5000</v>
      </c>
      <c r="J22">
        <v>400</v>
      </c>
      <c r="K22">
        <v>6000</v>
      </c>
    </row>
    <row r="23" spans="1:11" x14ac:dyDescent="0.25">
      <c r="A23" t="s">
        <v>75</v>
      </c>
      <c r="B23" t="s">
        <v>38</v>
      </c>
      <c r="C23" t="s">
        <v>34</v>
      </c>
      <c r="D23" t="s">
        <v>80</v>
      </c>
      <c r="E23">
        <v>99</v>
      </c>
      <c r="F23">
        <v>1</v>
      </c>
      <c r="G23">
        <v>1</v>
      </c>
      <c r="H23">
        <v>1000</v>
      </c>
      <c r="I23">
        <v>500</v>
      </c>
      <c r="J23">
        <v>1000</v>
      </c>
      <c r="K23">
        <v>500</v>
      </c>
    </row>
    <row r="24" spans="1:11" x14ac:dyDescent="0.25">
      <c r="A24" t="s">
        <v>75</v>
      </c>
      <c r="B24" t="s">
        <v>38</v>
      </c>
      <c r="C24" t="s">
        <v>34</v>
      </c>
      <c r="D24" t="s">
        <v>54</v>
      </c>
      <c r="E24">
        <v>99</v>
      </c>
      <c r="F24">
        <v>1</v>
      </c>
      <c r="G24">
        <v>1</v>
      </c>
      <c r="H24">
        <v>1000</v>
      </c>
      <c r="I24">
        <v>500</v>
      </c>
      <c r="J24">
        <v>1000</v>
      </c>
      <c r="K24">
        <v>500</v>
      </c>
    </row>
    <row r="25" spans="1:11" x14ac:dyDescent="0.25">
      <c r="A25" t="s">
        <v>75</v>
      </c>
      <c r="B25" t="s">
        <v>38</v>
      </c>
      <c r="C25" t="s">
        <v>34</v>
      </c>
      <c r="D25" t="s">
        <v>39</v>
      </c>
      <c r="E25">
        <v>99</v>
      </c>
      <c r="F25">
        <v>1</v>
      </c>
      <c r="G25">
        <v>1</v>
      </c>
      <c r="H25">
        <v>1000</v>
      </c>
      <c r="I25">
        <v>500</v>
      </c>
      <c r="J25">
        <v>1000</v>
      </c>
      <c r="K25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selection activeCell="D1" sqref="D1:D1048576"/>
    </sheetView>
  </sheetViews>
  <sheetFormatPr defaultRowHeight="15" x14ac:dyDescent="0.25"/>
  <cols>
    <col min="1" max="1" width="13.140625" bestFit="1" customWidth="1"/>
    <col min="2" max="2" width="5.7109375" bestFit="1" customWidth="1"/>
    <col min="3" max="3" width="20.42578125" bestFit="1" customWidth="1"/>
    <col min="4" max="4" width="19.85546875" bestFit="1" customWidth="1"/>
  </cols>
  <sheetData>
    <row r="1" spans="1:4" x14ac:dyDescent="0.25">
      <c r="A1" s="2" t="s">
        <v>8</v>
      </c>
      <c r="B1" s="2" t="s">
        <v>10</v>
      </c>
      <c r="C1" s="2" t="s">
        <v>74</v>
      </c>
      <c r="D1" s="4" t="s">
        <v>156</v>
      </c>
    </row>
    <row r="2" spans="1:4" x14ac:dyDescent="0.25">
      <c r="A2" t="s">
        <v>52</v>
      </c>
      <c r="B2" t="s">
        <v>19</v>
      </c>
      <c r="C2">
        <f>8707/(364*24)</f>
        <v>0.99668040293040294</v>
      </c>
      <c r="D2" s="3">
        <f>C2*364*24</f>
        <v>8707</v>
      </c>
    </row>
    <row r="3" spans="1:4" x14ac:dyDescent="0.25">
      <c r="A3" t="s">
        <v>30</v>
      </c>
      <c r="B3" t="s">
        <v>19</v>
      </c>
      <c r="C3">
        <f>632953/(364*24)</f>
        <v>72.453411172161168</v>
      </c>
      <c r="D3" s="3">
        <f t="shared" ref="D3:D23" si="0">C3*364*24</f>
        <v>632953</v>
      </c>
    </row>
    <row r="4" spans="1:4" x14ac:dyDescent="0.25">
      <c r="A4" t="s">
        <v>30</v>
      </c>
      <c r="B4" t="s">
        <v>75</v>
      </c>
      <c r="C4">
        <f>271783/(364*24)</f>
        <v>31.110691391941391</v>
      </c>
      <c r="D4" s="3">
        <f t="shared" si="0"/>
        <v>271783</v>
      </c>
    </row>
    <row r="5" spans="1:4" x14ac:dyDescent="0.25">
      <c r="A5" t="s">
        <v>80</v>
      </c>
      <c r="B5" t="s">
        <v>75</v>
      </c>
      <c r="C5">
        <f>43297/(364*24)</f>
        <v>4.9561584249084252</v>
      </c>
      <c r="D5" s="3">
        <f t="shared" si="0"/>
        <v>43297</v>
      </c>
    </row>
    <row r="6" spans="1:4" x14ac:dyDescent="0.25">
      <c r="A6" t="s">
        <v>54</v>
      </c>
      <c r="B6" t="s">
        <v>19</v>
      </c>
      <c r="C6">
        <f>75000/(364*24)</f>
        <v>8.5851648351648358</v>
      </c>
      <c r="D6" s="3">
        <f>C6*364*24</f>
        <v>75000</v>
      </c>
    </row>
    <row r="7" spans="1:4" x14ac:dyDescent="0.25">
      <c r="A7" t="s">
        <v>54</v>
      </c>
      <c r="B7" t="s">
        <v>75</v>
      </c>
      <c r="C7">
        <f>82348/(364*24)</f>
        <v>9.4262820512820511</v>
      </c>
      <c r="D7" s="3">
        <f t="shared" si="0"/>
        <v>82348</v>
      </c>
    </row>
    <row r="8" spans="1:4" x14ac:dyDescent="0.25">
      <c r="A8" t="s">
        <v>20</v>
      </c>
      <c r="B8" t="s">
        <v>19</v>
      </c>
      <c r="C8">
        <f>273496/(364*24)</f>
        <v>31.306776556776558</v>
      </c>
      <c r="D8" s="3">
        <f t="shared" si="0"/>
        <v>273496</v>
      </c>
    </row>
    <row r="9" spans="1:4" x14ac:dyDescent="0.25">
      <c r="A9" t="s">
        <v>40</v>
      </c>
      <c r="B9" t="s">
        <v>19</v>
      </c>
      <c r="C9">
        <f>32346/(364*24)</f>
        <v>3.7026098901098901</v>
      </c>
      <c r="D9" s="3">
        <f t="shared" si="0"/>
        <v>32346</v>
      </c>
    </row>
    <row r="10" spans="1:4" x14ac:dyDescent="0.25">
      <c r="A10" t="s">
        <v>45</v>
      </c>
      <c r="B10" t="s">
        <v>19</v>
      </c>
      <c r="C10">
        <f>843403/(364*24)</f>
        <v>96.543383699633694</v>
      </c>
      <c r="D10" s="3">
        <f t="shared" si="0"/>
        <v>843403</v>
      </c>
    </row>
    <row r="11" spans="1:4" x14ac:dyDescent="0.25">
      <c r="A11" t="s">
        <v>45</v>
      </c>
      <c r="B11" t="s">
        <v>55</v>
      </c>
      <c r="C11">
        <f>413226/(364*24)</f>
        <v>47.301510989010985</v>
      </c>
      <c r="D11" s="3">
        <f t="shared" si="0"/>
        <v>413226</v>
      </c>
    </row>
    <row r="12" spans="1:4" x14ac:dyDescent="0.25">
      <c r="A12" t="s">
        <v>45</v>
      </c>
      <c r="B12" t="s">
        <v>75</v>
      </c>
      <c r="C12">
        <f>426604/(364*24)</f>
        <v>48.83287545787546</v>
      </c>
      <c r="D12" s="3">
        <f t="shared" si="0"/>
        <v>426604</v>
      </c>
    </row>
    <row r="13" spans="1:4" x14ac:dyDescent="0.25">
      <c r="A13" t="s">
        <v>39</v>
      </c>
      <c r="B13" t="s">
        <v>19</v>
      </c>
      <c r="C13">
        <f>200000/(364*24)</f>
        <v>22.893772893772894</v>
      </c>
      <c r="D13" s="3">
        <f t="shared" si="0"/>
        <v>200000</v>
      </c>
    </row>
    <row r="14" spans="1:4" x14ac:dyDescent="0.25">
      <c r="A14" t="s">
        <v>39</v>
      </c>
      <c r="B14" t="s">
        <v>75</v>
      </c>
      <c r="C14">
        <f>29812/(364*24)</f>
        <v>3.4125457875457874</v>
      </c>
      <c r="D14" s="3">
        <f t="shared" si="0"/>
        <v>29811.999999999996</v>
      </c>
    </row>
    <row r="15" spans="1:4" x14ac:dyDescent="0.25">
      <c r="A15" t="s">
        <v>46</v>
      </c>
      <c r="B15" t="s">
        <v>19</v>
      </c>
      <c r="C15">
        <f>139033/(364*24)</f>
        <v>15.914949633699633</v>
      </c>
      <c r="D15" s="3">
        <f t="shared" si="0"/>
        <v>139033</v>
      </c>
    </row>
    <row r="16" spans="1:4" x14ac:dyDescent="0.25">
      <c r="A16" t="s">
        <v>46</v>
      </c>
      <c r="B16" t="s">
        <v>55</v>
      </c>
      <c r="C16">
        <f>63707/(364*24)</f>
        <v>7.2924679487179489</v>
      </c>
      <c r="D16" s="3">
        <f t="shared" ref="D16" si="1">C16*364*24</f>
        <v>63707</v>
      </c>
    </row>
    <row r="17" spans="1:4" x14ac:dyDescent="0.25">
      <c r="A17" t="s">
        <v>38</v>
      </c>
      <c r="B17" t="s">
        <v>19</v>
      </c>
      <c r="C17">
        <f>810842/(364*24)</f>
        <v>92.816163003663007</v>
      </c>
      <c r="D17" s="3">
        <f t="shared" si="0"/>
        <v>810842</v>
      </c>
    </row>
    <row r="18" spans="1:4" x14ac:dyDescent="0.25">
      <c r="A18" t="s">
        <v>38</v>
      </c>
      <c r="B18" t="s">
        <v>55</v>
      </c>
      <c r="C18">
        <f>315900/(364*24)</f>
        <v>36.160714285714285</v>
      </c>
      <c r="D18" s="3">
        <f t="shared" si="0"/>
        <v>315900</v>
      </c>
    </row>
    <row r="19" spans="1:4" x14ac:dyDescent="0.25">
      <c r="A19" t="s">
        <v>38</v>
      </c>
      <c r="B19" t="s">
        <v>75</v>
      </c>
      <c r="C19">
        <f>366601/(364*24)</f>
        <v>41.964400183150182</v>
      </c>
      <c r="D19" s="3">
        <f t="shared" si="0"/>
        <v>366601</v>
      </c>
    </row>
    <row r="20" spans="1:4" x14ac:dyDescent="0.25">
      <c r="A20" t="s">
        <v>41</v>
      </c>
      <c r="B20" t="s">
        <v>19</v>
      </c>
      <c r="C20">
        <f>171055/(364*24)</f>
        <v>19.580471611721613</v>
      </c>
      <c r="D20" s="3">
        <f t="shared" si="0"/>
        <v>171055</v>
      </c>
    </row>
    <row r="21" spans="1:4" x14ac:dyDescent="0.25">
      <c r="A21" t="s">
        <v>79</v>
      </c>
      <c r="B21" t="s">
        <v>75</v>
      </c>
      <c r="C21">
        <f>106550/(364*24)</f>
        <v>12.196657509157509</v>
      </c>
      <c r="D21" s="3">
        <f t="shared" si="0"/>
        <v>106550</v>
      </c>
    </row>
    <row r="22" spans="1:4" x14ac:dyDescent="0.25">
      <c r="A22" t="s">
        <v>37</v>
      </c>
      <c r="B22" t="s">
        <v>19</v>
      </c>
      <c r="C22">
        <f>420346/(364*24)</f>
        <v>48.116529304029307</v>
      </c>
      <c r="D22" s="3">
        <f t="shared" si="0"/>
        <v>420346</v>
      </c>
    </row>
    <row r="23" spans="1:4" x14ac:dyDescent="0.25">
      <c r="A23" t="s">
        <v>53</v>
      </c>
      <c r="B23" t="s">
        <v>19</v>
      </c>
      <c r="C23">
        <f>1395/(364*24)</f>
        <v>0.15968406593406592</v>
      </c>
      <c r="D23" s="3">
        <f t="shared" si="0"/>
        <v>1394.9999999999998</v>
      </c>
    </row>
  </sheetData>
  <autoFilter ref="A1:D23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F97F-A900-4D2E-8A4B-C2FBC2DAE7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4"/>
  <sheetViews>
    <sheetView zoomScaleNormal="100" workbookViewId="0">
      <selection activeCell="E1" sqref="E1"/>
    </sheetView>
  </sheetViews>
  <sheetFormatPr defaultRowHeight="15" x14ac:dyDescent="0.25"/>
  <cols>
    <col min="2" max="2" width="8.28515625" bestFit="1" customWidth="1"/>
    <col min="4" max="4" width="11.7109375" bestFit="1" customWidth="1"/>
  </cols>
  <sheetData>
    <row r="1" spans="1:6" x14ac:dyDescent="0.25">
      <c r="A1" t="s">
        <v>81</v>
      </c>
      <c r="B1" t="s">
        <v>84</v>
      </c>
      <c r="C1" t="s">
        <v>82</v>
      </c>
      <c r="D1" t="s">
        <v>85</v>
      </c>
      <c r="E1" t="s">
        <v>86</v>
      </c>
      <c r="F1" t="s">
        <v>87</v>
      </c>
    </row>
    <row r="2" spans="1:6" x14ac:dyDescent="0.25">
      <c r="A2">
        <v>1</v>
      </c>
      <c r="B2">
        <v>1</v>
      </c>
      <c r="C2" t="s">
        <v>88</v>
      </c>
      <c r="D2" t="s">
        <v>20</v>
      </c>
      <c r="E2" t="s">
        <v>89</v>
      </c>
      <c r="F2">
        <v>1</v>
      </c>
    </row>
    <row r="3" spans="1:6" x14ac:dyDescent="0.25">
      <c r="A3">
        <v>2</v>
      </c>
      <c r="B3">
        <v>1</v>
      </c>
      <c r="C3" t="s">
        <v>88</v>
      </c>
      <c r="D3" t="s">
        <v>30</v>
      </c>
      <c r="E3" t="s">
        <v>89</v>
      </c>
      <c r="F3">
        <v>1</v>
      </c>
    </row>
    <row r="4" spans="1:6" x14ac:dyDescent="0.25">
      <c r="A4">
        <v>1</v>
      </c>
      <c r="B4">
        <v>2</v>
      </c>
      <c r="C4" t="s">
        <v>90</v>
      </c>
      <c r="D4" t="s">
        <v>20</v>
      </c>
      <c r="E4" t="s">
        <v>91</v>
      </c>
      <c r="F4">
        <v>6</v>
      </c>
    </row>
    <row r="5" spans="1:6" x14ac:dyDescent="0.25">
      <c r="A5">
        <v>2</v>
      </c>
      <c r="B5">
        <v>2</v>
      </c>
      <c r="C5" t="s">
        <v>90</v>
      </c>
      <c r="D5" t="s">
        <v>30</v>
      </c>
      <c r="E5" t="s">
        <v>91</v>
      </c>
      <c r="F5">
        <v>6</v>
      </c>
    </row>
    <row r="6" spans="1:6" x14ac:dyDescent="0.25">
      <c r="A6">
        <v>1</v>
      </c>
      <c r="B6">
        <v>3</v>
      </c>
      <c r="C6" t="s">
        <v>90</v>
      </c>
      <c r="D6" t="s">
        <v>20</v>
      </c>
      <c r="E6" t="s">
        <v>91</v>
      </c>
      <c r="F6">
        <v>2</v>
      </c>
    </row>
    <row r="7" spans="1:6" x14ac:dyDescent="0.25">
      <c r="A7">
        <v>2</v>
      </c>
      <c r="B7">
        <v>3</v>
      </c>
      <c r="C7" t="s">
        <v>90</v>
      </c>
      <c r="D7" t="s">
        <v>38</v>
      </c>
      <c r="E7" t="s">
        <v>91</v>
      </c>
      <c r="F7">
        <v>2</v>
      </c>
    </row>
    <row r="8" spans="1:6" x14ac:dyDescent="0.25">
      <c r="A8">
        <v>1</v>
      </c>
      <c r="B8">
        <v>4</v>
      </c>
      <c r="C8" t="s">
        <v>92</v>
      </c>
      <c r="D8" t="s">
        <v>20</v>
      </c>
      <c r="E8" t="s">
        <v>93</v>
      </c>
      <c r="F8">
        <v>1</v>
      </c>
    </row>
    <row r="9" spans="1:6" x14ac:dyDescent="0.25">
      <c r="A9">
        <v>2</v>
      </c>
      <c r="B9">
        <v>4</v>
      </c>
      <c r="C9" t="s">
        <v>92</v>
      </c>
      <c r="D9" t="s">
        <v>30</v>
      </c>
      <c r="E9" t="s">
        <v>93</v>
      </c>
      <c r="F9">
        <v>1</v>
      </c>
    </row>
    <row r="10" spans="1:6" x14ac:dyDescent="0.25">
      <c r="A10">
        <v>1</v>
      </c>
      <c r="B10">
        <v>5</v>
      </c>
      <c r="C10" t="s">
        <v>94</v>
      </c>
      <c r="D10" t="s">
        <v>20</v>
      </c>
      <c r="E10" t="s">
        <v>95</v>
      </c>
      <c r="F10">
        <v>23</v>
      </c>
    </row>
    <row r="11" spans="1:6" x14ac:dyDescent="0.25">
      <c r="A11">
        <v>2</v>
      </c>
      <c r="B11">
        <v>5</v>
      </c>
      <c r="C11" t="s">
        <v>94</v>
      </c>
      <c r="D11" t="s">
        <v>96</v>
      </c>
      <c r="E11" t="s">
        <v>95</v>
      </c>
      <c r="F11">
        <v>23</v>
      </c>
    </row>
    <row r="12" spans="1:6" x14ac:dyDescent="0.25">
      <c r="A12">
        <v>1</v>
      </c>
      <c r="B12">
        <v>6</v>
      </c>
      <c r="C12" t="s">
        <v>94</v>
      </c>
      <c r="D12" t="s">
        <v>20</v>
      </c>
      <c r="E12" t="s">
        <v>95</v>
      </c>
      <c r="F12">
        <v>19</v>
      </c>
    </row>
    <row r="13" spans="1:6" x14ac:dyDescent="0.25">
      <c r="A13">
        <v>2</v>
      </c>
      <c r="B13">
        <v>6</v>
      </c>
      <c r="C13" t="s">
        <v>94</v>
      </c>
      <c r="D13" t="s">
        <v>37</v>
      </c>
      <c r="E13" t="s">
        <v>95</v>
      </c>
      <c r="F13">
        <v>19</v>
      </c>
    </row>
    <row r="14" spans="1:6" x14ac:dyDescent="0.25">
      <c r="A14">
        <v>1</v>
      </c>
      <c r="B14">
        <v>7</v>
      </c>
      <c r="C14" t="s">
        <v>94</v>
      </c>
      <c r="D14" t="s">
        <v>20</v>
      </c>
      <c r="E14" t="s">
        <v>95</v>
      </c>
      <c r="F14">
        <v>10</v>
      </c>
    </row>
    <row r="15" spans="1:6" x14ac:dyDescent="0.25">
      <c r="A15">
        <v>2</v>
      </c>
      <c r="B15">
        <v>7</v>
      </c>
      <c r="C15" t="s">
        <v>94</v>
      </c>
      <c r="D15" t="s">
        <v>45</v>
      </c>
      <c r="E15" t="s">
        <v>95</v>
      </c>
      <c r="F15">
        <v>10</v>
      </c>
    </row>
    <row r="16" spans="1:6" x14ac:dyDescent="0.25">
      <c r="A16">
        <v>1</v>
      </c>
      <c r="B16">
        <v>8</v>
      </c>
      <c r="C16" t="s">
        <v>94</v>
      </c>
      <c r="D16" t="s">
        <v>20</v>
      </c>
      <c r="E16" t="s">
        <v>95</v>
      </c>
      <c r="F16">
        <v>4</v>
      </c>
    </row>
    <row r="17" spans="1:6" x14ac:dyDescent="0.25">
      <c r="A17">
        <v>2</v>
      </c>
      <c r="B17">
        <v>8</v>
      </c>
      <c r="C17" t="s">
        <v>94</v>
      </c>
      <c r="D17" t="s">
        <v>45</v>
      </c>
      <c r="E17" t="s">
        <v>95</v>
      </c>
      <c r="F17">
        <v>4</v>
      </c>
    </row>
    <row r="18" spans="1:6" x14ac:dyDescent="0.25">
      <c r="A18">
        <v>3</v>
      </c>
      <c r="B18">
        <v>8</v>
      </c>
      <c r="C18" t="s">
        <v>94</v>
      </c>
      <c r="D18" t="s">
        <v>97</v>
      </c>
      <c r="E18" t="s">
        <v>95</v>
      </c>
      <c r="F18">
        <v>4</v>
      </c>
    </row>
    <row r="19" spans="1:6" x14ac:dyDescent="0.25">
      <c r="A19">
        <v>1</v>
      </c>
      <c r="B19">
        <v>9</v>
      </c>
      <c r="C19" t="s">
        <v>94</v>
      </c>
      <c r="D19" t="s">
        <v>20</v>
      </c>
      <c r="E19" t="s">
        <v>95</v>
      </c>
      <c r="F19">
        <v>3</v>
      </c>
    </row>
    <row r="20" spans="1:6" x14ac:dyDescent="0.25">
      <c r="A20">
        <v>2</v>
      </c>
      <c r="B20">
        <v>9</v>
      </c>
      <c r="C20" t="s">
        <v>94</v>
      </c>
      <c r="D20" t="s">
        <v>45</v>
      </c>
      <c r="E20" t="s">
        <v>95</v>
      </c>
      <c r="F20">
        <v>3</v>
      </c>
    </row>
    <row r="21" spans="1:6" x14ac:dyDescent="0.25">
      <c r="A21">
        <v>3</v>
      </c>
      <c r="B21">
        <v>9</v>
      </c>
      <c r="C21" t="s">
        <v>94</v>
      </c>
      <c r="D21" t="s">
        <v>39</v>
      </c>
      <c r="E21" t="s">
        <v>95</v>
      </c>
      <c r="F21">
        <v>3</v>
      </c>
    </row>
    <row r="22" spans="1:6" x14ac:dyDescent="0.25">
      <c r="A22">
        <v>1</v>
      </c>
      <c r="B22">
        <v>10</v>
      </c>
      <c r="C22" t="s">
        <v>94</v>
      </c>
      <c r="D22" t="s">
        <v>20</v>
      </c>
      <c r="E22" t="s">
        <v>95</v>
      </c>
      <c r="F22">
        <v>3</v>
      </c>
    </row>
    <row r="23" spans="1:6" x14ac:dyDescent="0.25">
      <c r="A23">
        <v>2</v>
      </c>
      <c r="B23">
        <v>10</v>
      </c>
      <c r="C23" t="s">
        <v>94</v>
      </c>
      <c r="D23" t="s">
        <v>39</v>
      </c>
      <c r="E23" t="s">
        <v>95</v>
      </c>
      <c r="F23">
        <v>3</v>
      </c>
    </row>
    <row r="24" spans="1:6" x14ac:dyDescent="0.25">
      <c r="A24">
        <v>1</v>
      </c>
      <c r="B24">
        <v>11</v>
      </c>
      <c r="C24" t="s">
        <v>94</v>
      </c>
      <c r="D24" t="s">
        <v>20</v>
      </c>
      <c r="E24" t="s">
        <v>95</v>
      </c>
      <c r="F24">
        <v>2</v>
      </c>
    </row>
    <row r="25" spans="1:6" x14ac:dyDescent="0.25">
      <c r="A25">
        <v>2</v>
      </c>
      <c r="B25">
        <v>11</v>
      </c>
      <c r="C25" t="s">
        <v>94</v>
      </c>
      <c r="D25" t="s">
        <v>45</v>
      </c>
      <c r="E25" t="s">
        <v>95</v>
      </c>
      <c r="F25">
        <v>2</v>
      </c>
    </row>
    <row r="26" spans="1:6" x14ac:dyDescent="0.25">
      <c r="A26">
        <v>3</v>
      </c>
      <c r="B26">
        <v>11</v>
      </c>
      <c r="C26" t="s">
        <v>94</v>
      </c>
      <c r="D26" t="s">
        <v>96</v>
      </c>
      <c r="E26" t="s">
        <v>95</v>
      </c>
      <c r="F26">
        <v>2</v>
      </c>
    </row>
    <row r="27" spans="1:6" x14ac:dyDescent="0.25">
      <c r="A27">
        <v>1</v>
      </c>
      <c r="B27">
        <v>12</v>
      </c>
      <c r="C27" t="s">
        <v>94</v>
      </c>
      <c r="D27" t="s">
        <v>20</v>
      </c>
      <c r="E27" t="s">
        <v>95</v>
      </c>
      <c r="F27">
        <v>2</v>
      </c>
    </row>
    <row r="28" spans="1:6" x14ac:dyDescent="0.25">
      <c r="A28">
        <v>2</v>
      </c>
      <c r="B28">
        <v>12</v>
      </c>
      <c r="C28" t="s">
        <v>94</v>
      </c>
      <c r="D28" t="s">
        <v>39</v>
      </c>
      <c r="E28" t="s">
        <v>95</v>
      </c>
      <c r="F28">
        <v>2</v>
      </c>
    </row>
    <row r="29" spans="1:6" x14ac:dyDescent="0.25">
      <c r="A29">
        <v>3</v>
      </c>
      <c r="B29">
        <v>12</v>
      </c>
      <c r="C29" t="s">
        <v>94</v>
      </c>
      <c r="D29" t="s">
        <v>96</v>
      </c>
      <c r="E29" t="s">
        <v>95</v>
      </c>
      <c r="F29">
        <v>2</v>
      </c>
    </row>
    <row r="30" spans="1:6" x14ac:dyDescent="0.25">
      <c r="A30">
        <v>1</v>
      </c>
      <c r="B30">
        <v>13</v>
      </c>
      <c r="C30" t="s">
        <v>94</v>
      </c>
      <c r="D30" t="s">
        <v>20</v>
      </c>
      <c r="E30" t="s">
        <v>95</v>
      </c>
      <c r="F30">
        <v>2</v>
      </c>
    </row>
    <row r="31" spans="1:6" x14ac:dyDescent="0.25">
      <c r="A31">
        <v>2</v>
      </c>
      <c r="B31">
        <v>13</v>
      </c>
      <c r="C31" t="s">
        <v>94</v>
      </c>
      <c r="D31" t="s">
        <v>96</v>
      </c>
      <c r="E31" t="s">
        <v>95</v>
      </c>
      <c r="F31">
        <v>2</v>
      </c>
    </row>
    <row r="32" spans="1:6" x14ac:dyDescent="0.25">
      <c r="A32">
        <v>3</v>
      </c>
      <c r="B32">
        <v>13</v>
      </c>
      <c r="C32" t="s">
        <v>94</v>
      </c>
      <c r="D32" t="s">
        <v>45</v>
      </c>
      <c r="E32" t="s">
        <v>95</v>
      </c>
      <c r="F32">
        <v>2</v>
      </c>
    </row>
    <row r="33" spans="1:6" x14ac:dyDescent="0.25">
      <c r="A33">
        <v>1</v>
      </c>
      <c r="B33">
        <v>14</v>
      </c>
      <c r="C33" t="s">
        <v>94</v>
      </c>
      <c r="D33" t="s">
        <v>20</v>
      </c>
      <c r="E33" t="s">
        <v>95</v>
      </c>
      <c r="F33">
        <v>1</v>
      </c>
    </row>
    <row r="34" spans="1:6" x14ac:dyDescent="0.25">
      <c r="A34">
        <v>2</v>
      </c>
      <c r="B34">
        <v>14</v>
      </c>
      <c r="C34" t="s">
        <v>94</v>
      </c>
      <c r="D34" t="s">
        <v>30</v>
      </c>
      <c r="E34" t="s">
        <v>95</v>
      </c>
      <c r="F34">
        <v>1</v>
      </c>
    </row>
    <row r="35" spans="1:6" x14ac:dyDescent="0.25">
      <c r="A35">
        <v>1</v>
      </c>
      <c r="B35">
        <v>15</v>
      </c>
      <c r="C35" t="s">
        <v>94</v>
      </c>
      <c r="D35" t="s">
        <v>20</v>
      </c>
      <c r="E35" t="s">
        <v>95</v>
      </c>
      <c r="F35">
        <v>1</v>
      </c>
    </row>
    <row r="36" spans="1:6" x14ac:dyDescent="0.25">
      <c r="A36">
        <v>2</v>
      </c>
      <c r="B36">
        <v>15</v>
      </c>
      <c r="C36" t="s">
        <v>94</v>
      </c>
      <c r="D36" t="s">
        <v>30</v>
      </c>
      <c r="E36" t="s">
        <v>95</v>
      </c>
      <c r="F36">
        <v>1</v>
      </c>
    </row>
    <row r="37" spans="1:6" x14ac:dyDescent="0.25">
      <c r="A37">
        <v>3</v>
      </c>
      <c r="B37">
        <v>15</v>
      </c>
      <c r="C37" t="s">
        <v>94</v>
      </c>
      <c r="D37" t="s">
        <v>20</v>
      </c>
      <c r="E37" t="s">
        <v>95</v>
      </c>
      <c r="F37">
        <v>1</v>
      </c>
    </row>
    <row r="38" spans="1:6" x14ac:dyDescent="0.25">
      <c r="A38">
        <v>4</v>
      </c>
      <c r="B38">
        <v>15</v>
      </c>
      <c r="C38" t="s">
        <v>94</v>
      </c>
      <c r="D38" t="s">
        <v>39</v>
      </c>
      <c r="E38" t="s">
        <v>95</v>
      </c>
      <c r="F38">
        <v>1</v>
      </c>
    </row>
    <row r="39" spans="1:6" x14ac:dyDescent="0.25">
      <c r="A39">
        <v>1</v>
      </c>
      <c r="B39">
        <v>16</v>
      </c>
      <c r="C39" t="s">
        <v>94</v>
      </c>
      <c r="D39" t="s">
        <v>20</v>
      </c>
      <c r="E39" t="s">
        <v>95</v>
      </c>
      <c r="F39">
        <v>1</v>
      </c>
    </row>
    <row r="40" spans="1:6" x14ac:dyDescent="0.25">
      <c r="A40">
        <v>2</v>
      </c>
      <c r="B40">
        <v>16</v>
      </c>
      <c r="C40" t="s">
        <v>94</v>
      </c>
      <c r="D40" t="s">
        <v>30</v>
      </c>
      <c r="E40" t="s">
        <v>95</v>
      </c>
      <c r="F40">
        <v>1</v>
      </c>
    </row>
    <row r="41" spans="1:6" x14ac:dyDescent="0.25">
      <c r="A41">
        <v>3</v>
      </c>
      <c r="B41">
        <v>16</v>
      </c>
      <c r="C41" t="s">
        <v>94</v>
      </c>
      <c r="D41" t="s">
        <v>45</v>
      </c>
      <c r="E41" t="s">
        <v>95</v>
      </c>
      <c r="F41">
        <v>1</v>
      </c>
    </row>
    <row r="42" spans="1:6" x14ac:dyDescent="0.25">
      <c r="A42">
        <v>1</v>
      </c>
      <c r="B42">
        <v>17</v>
      </c>
      <c r="C42" t="s">
        <v>94</v>
      </c>
      <c r="D42" t="s">
        <v>20</v>
      </c>
      <c r="E42" t="s">
        <v>95</v>
      </c>
      <c r="F42">
        <v>1</v>
      </c>
    </row>
    <row r="43" spans="1:6" x14ac:dyDescent="0.25">
      <c r="A43">
        <v>2</v>
      </c>
      <c r="B43">
        <v>17</v>
      </c>
      <c r="C43" t="s">
        <v>94</v>
      </c>
      <c r="D43" t="s">
        <v>39</v>
      </c>
      <c r="E43" t="s">
        <v>95</v>
      </c>
      <c r="F43">
        <v>1</v>
      </c>
    </row>
    <row r="44" spans="1:6" x14ac:dyDescent="0.25">
      <c r="A44">
        <v>3</v>
      </c>
      <c r="B44">
        <v>17</v>
      </c>
      <c r="C44" t="s">
        <v>94</v>
      </c>
      <c r="D44" t="s">
        <v>20</v>
      </c>
      <c r="E44" t="s">
        <v>95</v>
      </c>
      <c r="F44">
        <v>1</v>
      </c>
    </row>
    <row r="45" spans="1:6" x14ac:dyDescent="0.25">
      <c r="A45">
        <v>4</v>
      </c>
      <c r="B45">
        <v>17</v>
      </c>
      <c r="C45" t="s">
        <v>94</v>
      </c>
      <c r="D45" t="s">
        <v>97</v>
      </c>
      <c r="E45" t="s">
        <v>95</v>
      </c>
      <c r="F45">
        <v>1</v>
      </c>
    </row>
    <row r="46" spans="1:6" x14ac:dyDescent="0.25">
      <c r="A46">
        <v>5</v>
      </c>
      <c r="B46">
        <v>17</v>
      </c>
      <c r="C46" t="s">
        <v>94</v>
      </c>
      <c r="D46" t="s">
        <v>96</v>
      </c>
      <c r="E46" t="s">
        <v>95</v>
      </c>
      <c r="F46">
        <v>1</v>
      </c>
    </row>
    <row r="47" spans="1:6" x14ac:dyDescent="0.25">
      <c r="A47">
        <v>1</v>
      </c>
      <c r="B47">
        <v>18</v>
      </c>
      <c r="C47" t="s">
        <v>94</v>
      </c>
      <c r="D47" t="s">
        <v>20</v>
      </c>
      <c r="E47" t="s">
        <v>95</v>
      </c>
      <c r="F47">
        <v>1</v>
      </c>
    </row>
    <row r="48" spans="1:6" x14ac:dyDescent="0.25">
      <c r="A48">
        <v>2</v>
      </c>
      <c r="B48">
        <v>18</v>
      </c>
      <c r="C48" t="s">
        <v>94</v>
      </c>
      <c r="D48" t="s">
        <v>39</v>
      </c>
      <c r="E48" t="s">
        <v>95</v>
      </c>
      <c r="F48">
        <v>1</v>
      </c>
    </row>
    <row r="49" spans="1:6" x14ac:dyDescent="0.25">
      <c r="A49">
        <v>3</v>
      </c>
      <c r="B49">
        <v>18</v>
      </c>
      <c r="C49" t="s">
        <v>94</v>
      </c>
      <c r="D49" t="s">
        <v>45</v>
      </c>
      <c r="E49" t="s">
        <v>95</v>
      </c>
      <c r="F49">
        <v>1</v>
      </c>
    </row>
    <row r="50" spans="1:6" x14ac:dyDescent="0.25">
      <c r="A50">
        <v>4</v>
      </c>
      <c r="B50">
        <v>18</v>
      </c>
      <c r="C50" t="s">
        <v>94</v>
      </c>
      <c r="D50" t="s">
        <v>98</v>
      </c>
      <c r="E50" t="s">
        <v>95</v>
      </c>
      <c r="F50">
        <v>1</v>
      </c>
    </row>
    <row r="51" spans="1:6" x14ac:dyDescent="0.25">
      <c r="A51">
        <v>5</v>
      </c>
      <c r="B51">
        <v>18</v>
      </c>
      <c r="C51" t="s">
        <v>94</v>
      </c>
      <c r="D51" t="s">
        <v>97</v>
      </c>
      <c r="E51" t="s">
        <v>95</v>
      </c>
      <c r="F51">
        <v>1</v>
      </c>
    </row>
    <row r="52" spans="1:6" x14ac:dyDescent="0.25">
      <c r="A52">
        <v>1</v>
      </c>
      <c r="B52">
        <v>19</v>
      </c>
      <c r="C52" t="s">
        <v>94</v>
      </c>
      <c r="D52" t="s">
        <v>20</v>
      </c>
      <c r="E52" t="s">
        <v>95</v>
      </c>
      <c r="F52">
        <v>1</v>
      </c>
    </row>
    <row r="53" spans="1:6" x14ac:dyDescent="0.25">
      <c r="A53">
        <v>2</v>
      </c>
      <c r="B53">
        <v>19</v>
      </c>
      <c r="C53" t="s">
        <v>94</v>
      </c>
      <c r="D53" t="s">
        <v>39</v>
      </c>
      <c r="E53" t="s">
        <v>95</v>
      </c>
      <c r="F53">
        <v>1</v>
      </c>
    </row>
    <row r="54" spans="1:6" x14ac:dyDescent="0.25">
      <c r="A54">
        <v>3</v>
      </c>
      <c r="B54">
        <v>19</v>
      </c>
      <c r="C54" t="s">
        <v>94</v>
      </c>
      <c r="D54" t="s">
        <v>97</v>
      </c>
      <c r="E54" t="s">
        <v>95</v>
      </c>
      <c r="F54">
        <v>1</v>
      </c>
    </row>
    <row r="55" spans="1:6" x14ac:dyDescent="0.25">
      <c r="A55">
        <v>1</v>
      </c>
      <c r="B55">
        <v>20</v>
      </c>
      <c r="C55" t="s">
        <v>94</v>
      </c>
      <c r="D55" t="s">
        <v>20</v>
      </c>
      <c r="E55" t="s">
        <v>95</v>
      </c>
      <c r="F55">
        <v>1</v>
      </c>
    </row>
    <row r="56" spans="1:6" x14ac:dyDescent="0.25">
      <c r="A56">
        <v>2</v>
      </c>
      <c r="B56">
        <v>20</v>
      </c>
      <c r="C56" t="s">
        <v>94</v>
      </c>
      <c r="D56" t="s">
        <v>97</v>
      </c>
      <c r="E56" t="s">
        <v>95</v>
      </c>
      <c r="F56">
        <v>1</v>
      </c>
    </row>
    <row r="57" spans="1:6" x14ac:dyDescent="0.25">
      <c r="A57">
        <v>3</v>
      </c>
      <c r="B57">
        <v>20</v>
      </c>
      <c r="C57" t="s">
        <v>94</v>
      </c>
      <c r="D57" t="s">
        <v>20</v>
      </c>
      <c r="E57" t="s">
        <v>95</v>
      </c>
      <c r="F57">
        <v>1</v>
      </c>
    </row>
    <row r="58" spans="1:6" x14ac:dyDescent="0.25">
      <c r="A58">
        <v>4</v>
      </c>
      <c r="B58">
        <v>20</v>
      </c>
      <c r="C58" t="s">
        <v>94</v>
      </c>
      <c r="D58" t="s">
        <v>30</v>
      </c>
      <c r="E58" t="s">
        <v>95</v>
      </c>
      <c r="F58">
        <v>1</v>
      </c>
    </row>
    <row r="59" spans="1:6" x14ac:dyDescent="0.25">
      <c r="A59">
        <v>1</v>
      </c>
      <c r="B59">
        <v>21</v>
      </c>
      <c r="C59" t="s">
        <v>94</v>
      </c>
      <c r="D59" t="s">
        <v>20</v>
      </c>
      <c r="E59" t="s">
        <v>95</v>
      </c>
      <c r="F59">
        <v>1</v>
      </c>
    </row>
    <row r="60" spans="1:6" x14ac:dyDescent="0.25">
      <c r="A60">
        <v>2</v>
      </c>
      <c r="B60">
        <v>21</v>
      </c>
      <c r="C60" t="s">
        <v>94</v>
      </c>
      <c r="D60" t="s">
        <v>96</v>
      </c>
      <c r="E60" t="s">
        <v>95</v>
      </c>
      <c r="F60">
        <v>1</v>
      </c>
    </row>
    <row r="61" spans="1:6" x14ac:dyDescent="0.25">
      <c r="A61">
        <v>3</v>
      </c>
      <c r="B61">
        <v>21</v>
      </c>
      <c r="C61" t="s">
        <v>94</v>
      </c>
      <c r="D61" t="s">
        <v>20</v>
      </c>
      <c r="E61" t="s">
        <v>95</v>
      </c>
      <c r="F61">
        <v>1</v>
      </c>
    </row>
    <row r="62" spans="1:6" x14ac:dyDescent="0.25">
      <c r="A62">
        <v>4</v>
      </c>
      <c r="B62">
        <v>21</v>
      </c>
      <c r="C62" t="s">
        <v>94</v>
      </c>
      <c r="D62" t="s">
        <v>45</v>
      </c>
      <c r="E62" t="s">
        <v>95</v>
      </c>
      <c r="F62">
        <v>1</v>
      </c>
    </row>
    <row r="63" spans="1:6" x14ac:dyDescent="0.25">
      <c r="A63">
        <v>5</v>
      </c>
      <c r="B63">
        <v>21</v>
      </c>
      <c r="C63" t="s">
        <v>94</v>
      </c>
      <c r="D63" t="s">
        <v>98</v>
      </c>
      <c r="E63" t="s">
        <v>95</v>
      </c>
      <c r="F63">
        <v>1</v>
      </c>
    </row>
    <row r="64" spans="1:6" x14ac:dyDescent="0.25">
      <c r="A64">
        <v>6</v>
      </c>
      <c r="B64">
        <v>21</v>
      </c>
      <c r="C64" t="s">
        <v>94</v>
      </c>
      <c r="D64" t="s">
        <v>97</v>
      </c>
      <c r="E64" t="s">
        <v>95</v>
      </c>
      <c r="F64">
        <v>1</v>
      </c>
    </row>
    <row r="65" spans="1:6" x14ac:dyDescent="0.25">
      <c r="A65">
        <v>1</v>
      </c>
      <c r="B65">
        <v>22</v>
      </c>
      <c r="C65" t="s">
        <v>94</v>
      </c>
      <c r="D65" t="s">
        <v>20</v>
      </c>
      <c r="E65" t="s">
        <v>95</v>
      </c>
      <c r="F65">
        <v>1</v>
      </c>
    </row>
    <row r="66" spans="1:6" x14ac:dyDescent="0.25">
      <c r="A66">
        <v>2</v>
      </c>
      <c r="B66">
        <v>22</v>
      </c>
      <c r="C66" t="s">
        <v>94</v>
      </c>
      <c r="D66" t="s">
        <v>96</v>
      </c>
      <c r="E66" t="s">
        <v>95</v>
      </c>
      <c r="F66">
        <v>1</v>
      </c>
    </row>
    <row r="67" spans="1:6" x14ac:dyDescent="0.25">
      <c r="A67">
        <v>3</v>
      </c>
      <c r="B67">
        <v>22</v>
      </c>
      <c r="C67" t="s">
        <v>94</v>
      </c>
      <c r="D67" t="s">
        <v>97</v>
      </c>
      <c r="E67" t="s">
        <v>95</v>
      </c>
      <c r="F67">
        <v>1</v>
      </c>
    </row>
    <row r="68" spans="1:6" x14ac:dyDescent="0.25">
      <c r="A68">
        <v>1</v>
      </c>
      <c r="B68">
        <v>23</v>
      </c>
      <c r="C68" t="s">
        <v>94</v>
      </c>
      <c r="D68" t="s">
        <v>45</v>
      </c>
      <c r="E68" t="s">
        <v>95</v>
      </c>
      <c r="F68">
        <v>1</v>
      </c>
    </row>
    <row r="69" spans="1:6" x14ac:dyDescent="0.25">
      <c r="A69">
        <v>1</v>
      </c>
      <c r="B69">
        <v>24</v>
      </c>
      <c r="C69" t="s">
        <v>94</v>
      </c>
      <c r="D69" t="s">
        <v>45</v>
      </c>
      <c r="E69" t="s">
        <v>95</v>
      </c>
      <c r="F69">
        <v>1</v>
      </c>
    </row>
    <row r="70" spans="1:6" x14ac:dyDescent="0.25">
      <c r="A70">
        <v>2</v>
      </c>
      <c r="B70">
        <v>24</v>
      </c>
      <c r="C70" t="s">
        <v>94</v>
      </c>
      <c r="D70" t="s">
        <v>20</v>
      </c>
      <c r="E70" t="s">
        <v>95</v>
      </c>
      <c r="F70">
        <v>1</v>
      </c>
    </row>
    <row r="71" spans="1:6" x14ac:dyDescent="0.25">
      <c r="A71">
        <v>3</v>
      </c>
      <c r="B71">
        <v>24</v>
      </c>
      <c r="C71" t="s">
        <v>94</v>
      </c>
      <c r="D71" t="s">
        <v>45</v>
      </c>
      <c r="E71" t="s">
        <v>95</v>
      </c>
      <c r="F71">
        <v>1</v>
      </c>
    </row>
    <row r="72" spans="1:6" x14ac:dyDescent="0.25">
      <c r="A72">
        <v>4</v>
      </c>
      <c r="B72">
        <v>24</v>
      </c>
      <c r="C72" t="s">
        <v>94</v>
      </c>
      <c r="D72" t="s">
        <v>97</v>
      </c>
      <c r="E72" t="s">
        <v>95</v>
      </c>
      <c r="F72">
        <v>1</v>
      </c>
    </row>
    <row r="73" spans="1:6" x14ac:dyDescent="0.25">
      <c r="A73">
        <v>1</v>
      </c>
      <c r="B73">
        <v>25</v>
      </c>
      <c r="C73" t="s">
        <v>94</v>
      </c>
      <c r="D73" t="s">
        <v>39</v>
      </c>
      <c r="E73" t="s">
        <v>95</v>
      </c>
      <c r="F73">
        <v>1</v>
      </c>
    </row>
    <row r="74" spans="1:6" x14ac:dyDescent="0.25">
      <c r="A74">
        <v>2</v>
      </c>
      <c r="B74">
        <v>25</v>
      </c>
      <c r="C74" t="s">
        <v>94</v>
      </c>
      <c r="D74" t="s">
        <v>97</v>
      </c>
      <c r="E74" t="s">
        <v>95</v>
      </c>
      <c r="F74">
        <v>1</v>
      </c>
    </row>
    <row r="75" spans="1:6" x14ac:dyDescent="0.25">
      <c r="A75">
        <v>1</v>
      </c>
      <c r="B75">
        <v>26</v>
      </c>
      <c r="C75" t="s">
        <v>99</v>
      </c>
      <c r="D75" t="s">
        <v>20</v>
      </c>
      <c r="E75" t="s">
        <v>100</v>
      </c>
      <c r="F75">
        <v>1</v>
      </c>
    </row>
    <row r="76" spans="1:6" x14ac:dyDescent="0.25">
      <c r="A76">
        <v>2</v>
      </c>
      <c r="B76">
        <v>26</v>
      </c>
      <c r="C76" t="s">
        <v>99</v>
      </c>
      <c r="D76" t="s">
        <v>30</v>
      </c>
      <c r="E76" t="s">
        <v>100</v>
      </c>
      <c r="F76">
        <v>1</v>
      </c>
    </row>
    <row r="77" spans="1:6" x14ac:dyDescent="0.25">
      <c r="A77">
        <v>1</v>
      </c>
      <c r="B77">
        <v>27</v>
      </c>
      <c r="C77" t="s">
        <v>101</v>
      </c>
      <c r="D77" t="s">
        <v>20</v>
      </c>
      <c r="E77" t="s">
        <v>102</v>
      </c>
      <c r="F77">
        <v>1</v>
      </c>
    </row>
    <row r="78" spans="1:6" x14ac:dyDescent="0.25">
      <c r="A78">
        <v>2</v>
      </c>
      <c r="B78">
        <v>27</v>
      </c>
      <c r="C78" t="s">
        <v>101</v>
      </c>
      <c r="D78" t="s">
        <v>38</v>
      </c>
      <c r="E78" t="s">
        <v>102</v>
      </c>
      <c r="F78">
        <v>1</v>
      </c>
    </row>
    <row r="79" spans="1:6" x14ac:dyDescent="0.25">
      <c r="A79">
        <v>1</v>
      </c>
      <c r="B79">
        <v>28</v>
      </c>
      <c r="C79" t="s">
        <v>103</v>
      </c>
      <c r="D79" t="s">
        <v>20</v>
      </c>
      <c r="E79" t="s">
        <v>104</v>
      </c>
      <c r="F79">
        <v>1</v>
      </c>
    </row>
    <row r="80" spans="1:6" x14ac:dyDescent="0.25">
      <c r="A80">
        <v>2</v>
      </c>
      <c r="B80">
        <v>28</v>
      </c>
      <c r="C80" t="s">
        <v>103</v>
      </c>
      <c r="D80" t="s">
        <v>38</v>
      </c>
      <c r="E80" t="s">
        <v>104</v>
      </c>
      <c r="F80">
        <v>1</v>
      </c>
    </row>
    <row r="81" spans="1:6" x14ac:dyDescent="0.25">
      <c r="A81">
        <v>1</v>
      </c>
      <c r="B81">
        <v>29</v>
      </c>
      <c r="C81" t="s">
        <v>105</v>
      </c>
      <c r="D81" t="s">
        <v>20</v>
      </c>
      <c r="E81" t="s">
        <v>106</v>
      </c>
      <c r="F81">
        <v>1</v>
      </c>
    </row>
    <row r="82" spans="1:6" x14ac:dyDescent="0.25">
      <c r="A82">
        <v>2</v>
      </c>
      <c r="B82">
        <v>29</v>
      </c>
      <c r="C82" t="s">
        <v>105</v>
      </c>
      <c r="D82" t="s">
        <v>38</v>
      </c>
      <c r="E82" t="s">
        <v>106</v>
      </c>
      <c r="F82">
        <v>1</v>
      </c>
    </row>
    <row r="83" spans="1:6" x14ac:dyDescent="0.25">
      <c r="A83">
        <v>1</v>
      </c>
      <c r="B83">
        <v>30</v>
      </c>
      <c r="C83" t="s">
        <v>107</v>
      </c>
      <c r="D83" t="s">
        <v>20</v>
      </c>
      <c r="E83" t="s">
        <v>108</v>
      </c>
      <c r="F83">
        <v>4</v>
      </c>
    </row>
    <row r="84" spans="1:6" x14ac:dyDescent="0.25">
      <c r="A84">
        <v>2</v>
      </c>
      <c r="B84">
        <v>30</v>
      </c>
      <c r="C84" t="s">
        <v>107</v>
      </c>
      <c r="D84" t="s">
        <v>30</v>
      </c>
      <c r="E84" t="s">
        <v>108</v>
      </c>
      <c r="F84">
        <v>4</v>
      </c>
    </row>
    <row r="85" spans="1:6" x14ac:dyDescent="0.25">
      <c r="A85">
        <v>1</v>
      </c>
      <c r="B85">
        <v>31</v>
      </c>
      <c r="C85" t="s">
        <v>109</v>
      </c>
      <c r="D85" t="s">
        <v>20</v>
      </c>
      <c r="E85" t="s">
        <v>110</v>
      </c>
      <c r="F85">
        <v>1</v>
      </c>
    </row>
    <row r="86" spans="1:6" x14ac:dyDescent="0.25">
      <c r="A86">
        <v>2</v>
      </c>
      <c r="B86">
        <v>31</v>
      </c>
      <c r="C86" t="s">
        <v>109</v>
      </c>
      <c r="D86" t="s">
        <v>30</v>
      </c>
      <c r="E86" t="s">
        <v>110</v>
      </c>
      <c r="F86">
        <v>1</v>
      </c>
    </row>
    <row r="87" spans="1:6" x14ac:dyDescent="0.25">
      <c r="A87">
        <v>3</v>
      </c>
      <c r="B87">
        <v>31</v>
      </c>
      <c r="C87" t="s">
        <v>109</v>
      </c>
      <c r="D87" t="s">
        <v>20</v>
      </c>
      <c r="E87" t="s">
        <v>110</v>
      </c>
      <c r="F87">
        <v>1</v>
      </c>
    </row>
    <row r="88" spans="1:6" x14ac:dyDescent="0.25">
      <c r="A88">
        <v>4</v>
      </c>
      <c r="B88">
        <v>31</v>
      </c>
      <c r="C88" t="s">
        <v>109</v>
      </c>
      <c r="D88" t="s">
        <v>30</v>
      </c>
      <c r="E88" t="s">
        <v>110</v>
      </c>
      <c r="F88">
        <v>1</v>
      </c>
    </row>
    <row r="89" spans="1:6" x14ac:dyDescent="0.25">
      <c r="A89">
        <v>1</v>
      </c>
      <c r="B89">
        <v>32</v>
      </c>
      <c r="C89" t="s">
        <v>111</v>
      </c>
      <c r="D89" t="s">
        <v>20</v>
      </c>
      <c r="E89" t="s">
        <v>112</v>
      </c>
      <c r="F89">
        <v>4</v>
      </c>
    </row>
    <row r="90" spans="1:6" x14ac:dyDescent="0.25">
      <c r="A90">
        <v>2</v>
      </c>
      <c r="B90">
        <v>32</v>
      </c>
      <c r="C90" t="s">
        <v>111</v>
      </c>
      <c r="D90" t="s">
        <v>30</v>
      </c>
      <c r="E90" t="s">
        <v>112</v>
      </c>
      <c r="F90">
        <v>4</v>
      </c>
    </row>
    <row r="91" spans="1:6" x14ac:dyDescent="0.25">
      <c r="A91">
        <v>1</v>
      </c>
      <c r="B91">
        <v>33</v>
      </c>
      <c r="C91" t="s">
        <v>111</v>
      </c>
      <c r="D91" t="s">
        <v>20</v>
      </c>
      <c r="E91" t="s">
        <v>112</v>
      </c>
      <c r="F91">
        <v>1</v>
      </c>
    </row>
    <row r="92" spans="1:6" x14ac:dyDescent="0.25">
      <c r="A92">
        <v>2</v>
      </c>
      <c r="B92">
        <v>33</v>
      </c>
      <c r="C92" t="s">
        <v>111</v>
      </c>
      <c r="D92" t="s">
        <v>30</v>
      </c>
      <c r="E92" t="s">
        <v>112</v>
      </c>
      <c r="F92">
        <v>1</v>
      </c>
    </row>
    <row r="93" spans="1:6" x14ac:dyDescent="0.25">
      <c r="A93">
        <v>1</v>
      </c>
      <c r="B93">
        <v>34</v>
      </c>
      <c r="C93" t="s">
        <v>113</v>
      </c>
      <c r="D93" t="s">
        <v>20</v>
      </c>
      <c r="E93" t="s">
        <v>114</v>
      </c>
      <c r="F93">
        <v>1</v>
      </c>
    </row>
    <row r="94" spans="1:6" x14ac:dyDescent="0.25">
      <c r="A94">
        <v>2</v>
      </c>
      <c r="B94">
        <v>34</v>
      </c>
      <c r="C94" t="s">
        <v>113</v>
      </c>
      <c r="D94" t="s">
        <v>30</v>
      </c>
      <c r="E94" t="s">
        <v>114</v>
      </c>
      <c r="F94">
        <v>1</v>
      </c>
    </row>
    <row r="95" spans="1:6" x14ac:dyDescent="0.25">
      <c r="A95">
        <v>1</v>
      </c>
      <c r="B95">
        <v>35</v>
      </c>
      <c r="C95" t="s">
        <v>115</v>
      </c>
      <c r="D95" t="s">
        <v>20</v>
      </c>
      <c r="E95" t="s">
        <v>116</v>
      </c>
      <c r="F95">
        <v>1</v>
      </c>
    </row>
    <row r="96" spans="1:6" x14ac:dyDescent="0.25">
      <c r="A96">
        <v>2</v>
      </c>
      <c r="B96">
        <v>35</v>
      </c>
      <c r="C96" t="s">
        <v>115</v>
      </c>
      <c r="D96" t="s">
        <v>38</v>
      </c>
      <c r="E96" t="s">
        <v>116</v>
      </c>
      <c r="F96">
        <v>1</v>
      </c>
    </row>
    <row r="97" spans="1:6" x14ac:dyDescent="0.25">
      <c r="A97">
        <v>1</v>
      </c>
      <c r="B97">
        <v>36</v>
      </c>
      <c r="C97" t="s">
        <v>117</v>
      </c>
      <c r="D97" t="s">
        <v>98</v>
      </c>
      <c r="E97" t="s">
        <v>83</v>
      </c>
      <c r="F97">
        <v>321</v>
      </c>
    </row>
    <row r="98" spans="1:6" x14ac:dyDescent="0.25">
      <c r="A98">
        <v>2</v>
      </c>
      <c r="B98">
        <v>36</v>
      </c>
      <c r="C98" t="s">
        <v>117</v>
      </c>
      <c r="D98" t="s">
        <v>45</v>
      </c>
      <c r="E98" t="s">
        <v>83</v>
      </c>
      <c r="F98">
        <v>321</v>
      </c>
    </row>
    <row r="99" spans="1:6" x14ac:dyDescent="0.25">
      <c r="A99">
        <v>1</v>
      </c>
      <c r="B99">
        <v>37</v>
      </c>
      <c r="C99" t="s">
        <v>117</v>
      </c>
      <c r="D99" t="s">
        <v>98</v>
      </c>
      <c r="E99" t="s">
        <v>83</v>
      </c>
      <c r="F99">
        <v>4</v>
      </c>
    </row>
    <row r="100" spans="1:6" x14ac:dyDescent="0.25">
      <c r="A100">
        <v>2</v>
      </c>
      <c r="B100">
        <v>37</v>
      </c>
      <c r="C100" t="s">
        <v>117</v>
      </c>
      <c r="D100" t="s">
        <v>45</v>
      </c>
      <c r="E100" t="s">
        <v>83</v>
      </c>
      <c r="F100">
        <v>4</v>
      </c>
    </row>
    <row r="101" spans="1:6" x14ac:dyDescent="0.25">
      <c r="A101">
        <v>1</v>
      </c>
      <c r="B101">
        <v>38</v>
      </c>
      <c r="C101" t="s">
        <v>117</v>
      </c>
      <c r="D101" t="s">
        <v>45</v>
      </c>
      <c r="E101" t="s">
        <v>83</v>
      </c>
      <c r="F101">
        <v>4</v>
      </c>
    </row>
    <row r="102" spans="1:6" x14ac:dyDescent="0.25">
      <c r="A102">
        <v>2</v>
      </c>
      <c r="B102">
        <v>38</v>
      </c>
      <c r="C102" t="s">
        <v>117</v>
      </c>
      <c r="D102" t="s">
        <v>98</v>
      </c>
      <c r="E102" t="s">
        <v>83</v>
      </c>
      <c r="F102">
        <v>4</v>
      </c>
    </row>
    <row r="103" spans="1:6" x14ac:dyDescent="0.25">
      <c r="A103">
        <v>1</v>
      </c>
      <c r="B103">
        <v>39</v>
      </c>
      <c r="C103" t="s">
        <v>117</v>
      </c>
      <c r="D103" t="s">
        <v>98</v>
      </c>
      <c r="E103" t="s">
        <v>83</v>
      </c>
      <c r="F103">
        <v>2</v>
      </c>
    </row>
    <row r="104" spans="1:6" x14ac:dyDescent="0.25">
      <c r="A104">
        <v>2</v>
      </c>
      <c r="B104">
        <v>39</v>
      </c>
      <c r="C104" t="s">
        <v>117</v>
      </c>
      <c r="D104" t="s">
        <v>45</v>
      </c>
      <c r="E104" t="s">
        <v>83</v>
      </c>
      <c r="F104">
        <v>2</v>
      </c>
    </row>
    <row r="105" spans="1:6" x14ac:dyDescent="0.25">
      <c r="A105">
        <v>3</v>
      </c>
      <c r="B105">
        <v>39</v>
      </c>
      <c r="C105" t="s">
        <v>117</v>
      </c>
      <c r="D105" t="s">
        <v>98</v>
      </c>
      <c r="E105" t="s">
        <v>83</v>
      </c>
      <c r="F105">
        <v>2</v>
      </c>
    </row>
    <row r="106" spans="1:6" x14ac:dyDescent="0.25">
      <c r="A106">
        <v>4</v>
      </c>
      <c r="B106">
        <v>39</v>
      </c>
      <c r="C106" t="s">
        <v>117</v>
      </c>
      <c r="D106" t="s">
        <v>45</v>
      </c>
      <c r="E106" t="s">
        <v>83</v>
      </c>
      <c r="F106">
        <v>2</v>
      </c>
    </row>
    <row r="107" spans="1:6" x14ac:dyDescent="0.25">
      <c r="A107">
        <v>1</v>
      </c>
      <c r="B107">
        <v>40</v>
      </c>
      <c r="C107" t="s">
        <v>117</v>
      </c>
      <c r="D107" t="s">
        <v>98</v>
      </c>
      <c r="E107" t="s">
        <v>83</v>
      </c>
      <c r="F107">
        <v>1</v>
      </c>
    </row>
    <row r="108" spans="1:6" x14ac:dyDescent="0.25">
      <c r="A108">
        <v>1</v>
      </c>
      <c r="B108">
        <v>41</v>
      </c>
      <c r="C108" t="s">
        <v>118</v>
      </c>
      <c r="D108" t="s">
        <v>20</v>
      </c>
      <c r="E108" t="s">
        <v>119</v>
      </c>
      <c r="F108">
        <v>1</v>
      </c>
    </row>
    <row r="109" spans="1:6" x14ac:dyDescent="0.25">
      <c r="A109">
        <v>2</v>
      </c>
      <c r="B109">
        <v>41</v>
      </c>
      <c r="C109" t="s">
        <v>118</v>
      </c>
      <c r="D109" t="s">
        <v>38</v>
      </c>
      <c r="E109" t="s">
        <v>119</v>
      </c>
      <c r="F109">
        <v>1</v>
      </c>
    </row>
    <row r="110" spans="1:6" x14ac:dyDescent="0.25">
      <c r="A110">
        <v>1</v>
      </c>
      <c r="B110">
        <v>42</v>
      </c>
      <c r="C110" t="s">
        <v>120</v>
      </c>
      <c r="D110" t="s">
        <v>20</v>
      </c>
      <c r="E110" t="s">
        <v>121</v>
      </c>
      <c r="F110">
        <v>1</v>
      </c>
    </row>
    <row r="111" spans="1:6" x14ac:dyDescent="0.25">
      <c r="A111">
        <v>2</v>
      </c>
      <c r="B111">
        <v>42</v>
      </c>
      <c r="C111" t="s">
        <v>120</v>
      </c>
      <c r="D111" t="s">
        <v>30</v>
      </c>
      <c r="E111" t="s">
        <v>121</v>
      </c>
      <c r="F111">
        <v>1</v>
      </c>
    </row>
    <row r="112" spans="1:6" x14ac:dyDescent="0.25">
      <c r="A112">
        <v>1</v>
      </c>
      <c r="B112">
        <v>43</v>
      </c>
      <c r="C112" t="s">
        <v>122</v>
      </c>
      <c r="D112" t="s">
        <v>20</v>
      </c>
      <c r="E112" t="s">
        <v>123</v>
      </c>
      <c r="F112">
        <v>18</v>
      </c>
    </row>
    <row r="113" spans="1:6" x14ac:dyDescent="0.25">
      <c r="A113">
        <v>2</v>
      </c>
      <c r="B113">
        <v>43</v>
      </c>
      <c r="C113" t="s">
        <v>122</v>
      </c>
      <c r="D113" t="s">
        <v>37</v>
      </c>
      <c r="E113" t="s">
        <v>123</v>
      </c>
      <c r="F113">
        <v>18</v>
      </c>
    </row>
    <row r="114" spans="1:6" x14ac:dyDescent="0.25">
      <c r="A114">
        <v>1</v>
      </c>
      <c r="B114">
        <v>44</v>
      </c>
      <c r="C114" t="s">
        <v>122</v>
      </c>
      <c r="D114" t="s">
        <v>20</v>
      </c>
      <c r="E114" t="s">
        <v>123</v>
      </c>
      <c r="F114">
        <v>16</v>
      </c>
    </row>
    <row r="115" spans="1:6" x14ac:dyDescent="0.25">
      <c r="A115">
        <v>2</v>
      </c>
      <c r="B115">
        <v>44</v>
      </c>
      <c r="C115" t="s">
        <v>122</v>
      </c>
      <c r="D115" t="s">
        <v>96</v>
      </c>
      <c r="E115" t="s">
        <v>123</v>
      </c>
      <c r="F115">
        <v>16</v>
      </c>
    </row>
    <row r="116" spans="1:6" x14ac:dyDescent="0.25">
      <c r="A116">
        <v>1</v>
      </c>
      <c r="B116">
        <v>45</v>
      </c>
      <c r="C116" t="s">
        <v>122</v>
      </c>
      <c r="D116" t="s">
        <v>20</v>
      </c>
      <c r="E116" t="s">
        <v>123</v>
      </c>
      <c r="F116">
        <v>6</v>
      </c>
    </row>
    <row r="117" spans="1:6" x14ac:dyDescent="0.25">
      <c r="A117">
        <v>2</v>
      </c>
      <c r="B117">
        <v>45</v>
      </c>
      <c r="C117" t="s">
        <v>122</v>
      </c>
      <c r="D117" t="s">
        <v>45</v>
      </c>
      <c r="E117" t="s">
        <v>123</v>
      </c>
      <c r="F117">
        <v>6</v>
      </c>
    </row>
    <row r="118" spans="1:6" x14ac:dyDescent="0.25">
      <c r="A118">
        <v>3</v>
      </c>
      <c r="B118">
        <v>45</v>
      </c>
      <c r="C118" t="s">
        <v>122</v>
      </c>
      <c r="D118" t="s">
        <v>97</v>
      </c>
      <c r="E118" t="s">
        <v>123</v>
      </c>
      <c r="F118">
        <v>6</v>
      </c>
    </row>
    <row r="119" spans="1:6" x14ac:dyDescent="0.25">
      <c r="A119">
        <v>1</v>
      </c>
      <c r="B119">
        <v>46</v>
      </c>
      <c r="C119" t="s">
        <v>122</v>
      </c>
      <c r="D119" t="s">
        <v>20</v>
      </c>
      <c r="E119" t="s">
        <v>123</v>
      </c>
      <c r="F119">
        <v>5</v>
      </c>
    </row>
    <row r="120" spans="1:6" x14ac:dyDescent="0.25">
      <c r="A120">
        <v>2</v>
      </c>
      <c r="B120">
        <v>46</v>
      </c>
      <c r="C120" t="s">
        <v>122</v>
      </c>
      <c r="D120" t="s">
        <v>45</v>
      </c>
      <c r="E120" t="s">
        <v>123</v>
      </c>
      <c r="F120">
        <v>5</v>
      </c>
    </row>
    <row r="121" spans="1:6" x14ac:dyDescent="0.25">
      <c r="A121">
        <v>1</v>
      </c>
      <c r="B121">
        <v>47</v>
      </c>
      <c r="C121" t="s">
        <v>122</v>
      </c>
      <c r="D121" t="s">
        <v>20</v>
      </c>
      <c r="E121" t="s">
        <v>123</v>
      </c>
      <c r="F121">
        <v>4</v>
      </c>
    </row>
    <row r="122" spans="1:6" x14ac:dyDescent="0.25">
      <c r="A122">
        <v>2</v>
      </c>
      <c r="B122">
        <v>47</v>
      </c>
      <c r="C122" t="s">
        <v>122</v>
      </c>
      <c r="D122" t="s">
        <v>30</v>
      </c>
      <c r="E122" t="s">
        <v>123</v>
      </c>
      <c r="F122">
        <v>4</v>
      </c>
    </row>
    <row r="123" spans="1:6" x14ac:dyDescent="0.25">
      <c r="A123">
        <v>3</v>
      </c>
      <c r="B123">
        <v>47</v>
      </c>
      <c r="C123" t="s">
        <v>122</v>
      </c>
      <c r="D123" t="s">
        <v>45</v>
      </c>
      <c r="E123" t="s">
        <v>123</v>
      </c>
      <c r="F123">
        <v>4</v>
      </c>
    </row>
    <row r="124" spans="1:6" x14ac:dyDescent="0.25">
      <c r="A124">
        <v>1</v>
      </c>
      <c r="B124">
        <v>48</v>
      </c>
      <c r="C124" t="s">
        <v>122</v>
      </c>
      <c r="D124" t="s">
        <v>20</v>
      </c>
      <c r="E124" t="s">
        <v>123</v>
      </c>
      <c r="F124">
        <v>3</v>
      </c>
    </row>
    <row r="125" spans="1:6" x14ac:dyDescent="0.25">
      <c r="A125">
        <v>2</v>
      </c>
      <c r="B125">
        <v>48</v>
      </c>
      <c r="C125" t="s">
        <v>122</v>
      </c>
      <c r="D125" t="s">
        <v>39</v>
      </c>
      <c r="E125" t="s">
        <v>123</v>
      </c>
      <c r="F125">
        <v>3</v>
      </c>
    </row>
    <row r="126" spans="1:6" x14ac:dyDescent="0.25">
      <c r="A126">
        <v>1</v>
      </c>
      <c r="B126">
        <v>49</v>
      </c>
      <c r="C126" t="s">
        <v>122</v>
      </c>
      <c r="D126" t="s">
        <v>20</v>
      </c>
      <c r="E126" t="s">
        <v>123</v>
      </c>
      <c r="F126">
        <v>3</v>
      </c>
    </row>
    <row r="127" spans="1:6" x14ac:dyDescent="0.25">
      <c r="A127">
        <v>2</v>
      </c>
      <c r="B127">
        <v>49</v>
      </c>
      <c r="C127" t="s">
        <v>122</v>
      </c>
      <c r="D127" t="s">
        <v>39</v>
      </c>
      <c r="E127" t="s">
        <v>123</v>
      </c>
      <c r="F127">
        <v>3</v>
      </c>
    </row>
    <row r="128" spans="1:6" x14ac:dyDescent="0.25">
      <c r="A128">
        <v>3</v>
      </c>
      <c r="B128">
        <v>49</v>
      </c>
      <c r="C128" t="s">
        <v>122</v>
      </c>
      <c r="D128" t="s">
        <v>45</v>
      </c>
      <c r="E128" t="s">
        <v>123</v>
      </c>
      <c r="F128">
        <v>3</v>
      </c>
    </row>
    <row r="129" spans="1:6" x14ac:dyDescent="0.25">
      <c r="A129">
        <v>1</v>
      </c>
      <c r="B129">
        <v>50</v>
      </c>
      <c r="C129" t="s">
        <v>122</v>
      </c>
      <c r="D129" t="s">
        <v>20</v>
      </c>
      <c r="E129" t="s">
        <v>123</v>
      </c>
      <c r="F129">
        <v>2</v>
      </c>
    </row>
    <row r="130" spans="1:6" x14ac:dyDescent="0.25">
      <c r="A130">
        <v>2</v>
      </c>
      <c r="B130">
        <v>50</v>
      </c>
      <c r="C130" t="s">
        <v>122</v>
      </c>
      <c r="D130" t="s">
        <v>30</v>
      </c>
      <c r="E130" t="s">
        <v>123</v>
      </c>
      <c r="F130">
        <v>2</v>
      </c>
    </row>
    <row r="131" spans="1:6" x14ac:dyDescent="0.25">
      <c r="A131">
        <v>3</v>
      </c>
      <c r="B131">
        <v>50</v>
      </c>
      <c r="C131" t="s">
        <v>122</v>
      </c>
      <c r="D131" t="s">
        <v>45</v>
      </c>
      <c r="E131" t="s">
        <v>123</v>
      </c>
      <c r="F131">
        <v>2</v>
      </c>
    </row>
    <row r="132" spans="1:6" x14ac:dyDescent="0.25">
      <c r="A132">
        <v>4</v>
      </c>
      <c r="B132">
        <v>50</v>
      </c>
      <c r="C132" t="s">
        <v>122</v>
      </c>
      <c r="D132" t="s">
        <v>98</v>
      </c>
      <c r="E132" t="s">
        <v>123</v>
      </c>
      <c r="F132">
        <v>2</v>
      </c>
    </row>
    <row r="133" spans="1:6" x14ac:dyDescent="0.25">
      <c r="A133">
        <v>5</v>
      </c>
      <c r="B133">
        <v>50</v>
      </c>
      <c r="C133" t="s">
        <v>122</v>
      </c>
      <c r="D133" t="s">
        <v>97</v>
      </c>
      <c r="E133" t="s">
        <v>123</v>
      </c>
      <c r="F133">
        <v>2</v>
      </c>
    </row>
    <row r="134" spans="1:6" x14ac:dyDescent="0.25">
      <c r="A134">
        <v>1</v>
      </c>
      <c r="B134">
        <v>51</v>
      </c>
      <c r="C134" t="s">
        <v>122</v>
      </c>
      <c r="D134" t="s">
        <v>20</v>
      </c>
      <c r="E134" t="s">
        <v>123</v>
      </c>
      <c r="F134">
        <v>2</v>
      </c>
    </row>
    <row r="135" spans="1:6" x14ac:dyDescent="0.25">
      <c r="A135">
        <v>2</v>
      </c>
      <c r="B135">
        <v>51</v>
      </c>
      <c r="C135" t="s">
        <v>122</v>
      </c>
      <c r="D135" t="s">
        <v>45</v>
      </c>
      <c r="E135" t="s">
        <v>123</v>
      </c>
      <c r="F135">
        <v>2</v>
      </c>
    </row>
    <row r="136" spans="1:6" x14ac:dyDescent="0.25">
      <c r="A136">
        <v>3</v>
      </c>
      <c r="B136">
        <v>51</v>
      </c>
      <c r="C136" t="s">
        <v>122</v>
      </c>
      <c r="D136" t="s">
        <v>39</v>
      </c>
      <c r="E136" t="s">
        <v>123</v>
      </c>
      <c r="F136">
        <v>2</v>
      </c>
    </row>
    <row r="137" spans="1:6" x14ac:dyDescent="0.25">
      <c r="A137">
        <v>1</v>
      </c>
      <c r="B137">
        <v>52</v>
      </c>
      <c r="C137" t="s">
        <v>122</v>
      </c>
      <c r="D137" t="s">
        <v>20</v>
      </c>
      <c r="E137" t="s">
        <v>123</v>
      </c>
      <c r="F137">
        <v>2</v>
      </c>
    </row>
    <row r="138" spans="1:6" x14ac:dyDescent="0.25">
      <c r="A138">
        <v>2</v>
      </c>
      <c r="B138">
        <v>52</v>
      </c>
      <c r="C138" t="s">
        <v>122</v>
      </c>
      <c r="D138" t="s">
        <v>96</v>
      </c>
      <c r="E138" t="s">
        <v>123</v>
      </c>
      <c r="F138">
        <v>2</v>
      </c>
    </row>
    <row r="139" spans="1:6" x14ac:dyDescent="0.25">
      <c r="A139">
        <v>3</v>
      </c>
      <c r="B139">
        <v>52</v>
      </c>
      <c r="C139" t="s">
        <v>122</v>
      </c>
      <c r="D139" t="s">
        <v>45</v>
      </c>
      <c r="E139" t="s">
        <v>123</v>
      </c>
      <c r="F139">
        <v>2</v>
      </c>
    </row>
    <row r="140" spans="1:6" x14ac:dyDescent="0.25">
      <c r="A140">
        <v>1</v>
      </c>
      <c r="B140">
        <v>53</v>
      </c>
      <c r="C140" t="s">
        <v>122</v>
      </c>
      <c r="D140" t="s">
        <v>96</v>
      </c>
      <c r="E140" t="s">
        <v>123</v>
      </c>
      <c r="F140">
        <v>2</v>
      </c>
    </row>
    <row r="141" spans="1:6" x14ac:dyDescent="0.25">
      <c r="A141">
        <v>2</v>
      </c>
      <c r="B141">
        <v>53</v>
      </c>
      <c r="C141" t="s">
        <v>122</v>
      </c>
      <c r="D141" t="s">
        <v>20</v>
      </c>
      <c r="E141" t="s">
        <v>123</v>
      </c>
      <c r="F141">
        <v>2</v>
      </c>
    </row>
    <row r="142" spans="1:6" x14ac:dyDescent="0.25">
      <c r="A142">
        <v>1</v>
      </c>
      <c r="B142">
        <v>54</v>
      </c>
      <c r="C142" t="s">
        <v>122</v>
      </c>
      <c r="D142" t="s">
        <v>98</v>
      </c>
      <c r="E142" t="s">
        <v>123</v>
      </c>
      <c r="F142">
        <v>1</v>
      </c>
    </row>
    <row r="143" spans="1:6" x14ac:dyDescent="0.25">
      <c r="A143">
        <v>2</v>
      </c>
      <c r="B143">
        <v>54</v>
      </c>
      <c r="C143" t="s">
        <v>122</v>
      </c>
      <c r="D143" t="s">
        <v>45</v>
      </c>
      <c r="E143" t="s">
        <v>123</v>
      </c>
      <c r="F143">
        <v>1</v>
      </c>
    </row>
    <row r="144" spans="1:6" x14ac:dyDescent="0.25">
      <c r="A144">
        <v>1</v>
      </c>
      <c r="B144">
        <v>55</v>
      </c>
      <c r="C144" t="s">
        <v>122</v>
      </c>
      <c r="D144" t="s">
        <v>98</v>
      </c>
      <c r="E144" t="s">
        <v>123</v>
      </c>
      <c r="F144">
        <v>1</v>
      </c>
    </row>
    <row r="145" spans="1:6" x14ac:dyDescent="0.25">
      <c r="A145">
        <v>2</v>
      </c>
      <c r="B145">
        <v>55</v>
      </c>
      <c r="C145" t="s">
        <v>122</v>
      </c>
      <c r="D145" t="s">
        <v>37</v>
      </c>
      <c r="E145" t="s">
        <v>123</v>
      </c>
      <c r="F145">
        <v>1</v>
      </c>
    </row>
    <row r="146" spans="1:6" x14ac:dyDescent="0.25">
      <c r="A146">
        <v>1</v>
      </c>
      <c r="B146">
        <v>56</v>
      </c>
      <c r="C146" t="s">
        <v>122</v>
      </c>
      <c r="D146" t="s">
        <v>20</v>
      </c>
      <c r="E146" t="s">
        <v>123</v>
      </c>
      <c r="F146">
        <v>1</v>
      </c>
    </row>
    <row r="147" spans="1:6" x14ac:dyDescent="0.25">
      <c r="A147">
        <v>2</v>
      </c>
      <c r="B147">
        <v>56</v>
      </c>
      <c r="C147" t="s">
        <v>122</v>
      </c>
      <c r="D147" t="s">
        <v>30</v>
      </c>
      <c r="E147" t="s">
        <v>123</v>
      </c>
      <c r="F147">
        <v>1</v>
      </c>
    </row>
    <row r="148" spans="1:6" x14ac:dyDescent="0.25">
      <c r="A148">
        <v>3</v>
      </c>
      <c r="B148">
        <v>56</v>
      </c>
      <c r="C148" t="s">
        <v>122</v>
      </c>
      <c r="D148" t="s">
        <v>45</v>
      </c>
      <c r="E148" t="s">
        <v>123</v>
      </c>
      <c r="F148">
        <v>1</v>
      </c>
    </row>
    <row r="149" spans="1:6" x14ac:dyDescent="0.25">
      <c r="A149">
        <v>4</v>
      </c>
      <c r="B149">
        <v>56</v>
      </c>
      <c r="C149" t="s">
        <v>122</v>
      </c>
      <c r="D149" t="s">
        <v>97</v>
      </c>
      <c r="E149" t="s">
        <v>123</v>
      </c>
      <c r="F149">
        <v>1</v>
      </c>
    </row>
    <row r="150" spans="1:6" x14ac:dyDescent="0.25">
      <c r="A150">
        <v>1</v>
      </c>
      <c r="B150">
        <v>57</v>
      </c>
      <c r="C150" t="s">
        <v>122</v>
      </c>
      <c r="D150" t="s">
        <v>20</v>
      </c>
      <c r="E150" t="s">
        <v>123</v>
      </c>
      <c r="F150">
        <v>1</v>
      </c>
    </row>
    <row r="151" spans="1:6" x14ac:dyDescent="0.25">
      <c r="A151">
        <v>2</v>
      </c>
      <c r="B151">
        <v>57</v>
      </c>
      <c r="C151" t="s">
        <v>122</v>
      </c>
      <c r="D151" t="s">
        <v>30</v>
      </c>
      <c r="E151" t="s">
        <v>123</v>
      </c>
      <c r="F151">
        <v>1</v>
      </c>
    </row>
    <row r="152" spans="1:6" x14ac:dyDescent="0.25">
      <c r="A152">
        <v>3</v>
      </c>
      <c r="B152">
        <v>57</v>
      </c>
      <c r="C152" t="s">
        <v>122</v>
      </c>
      <c r="D152" t="s">
        <v>39</v>
      </c>
      <c r="E152" t="s">
        <v>123</v>
      </c>
      <c r="F152">
        <v>1</v>
      </c>
    </row>
    <row r="153" spans="1:6" x14ac:dyDescent="0.25">
      <c r="A153">
        <v>1</v>
      </c>
      <c r="B153">
        <v>58</v>
      </c>
      <c r="C153" t="s">
        <v>122</v>
      </c>
      <c r="D153" t="s">
        <v>20</v>
      </c>
      <c r="E153" t="s">
        <v>123</v>
      </c>
      <c r="F153">
        <v>1</v>
      </c>
    </row>
    <row r="154" spans="1:6" x14ac:dyDescent="0.25">
      <c r="A154">
        <v>2</v>
      </c>
      <c r="B154">
        <v>58</v>
      </c>
      <c r="C154" t="s">
        <v>122</v>
      </c>
      <c r="D154" t="s">
        <v>30</v>
      </c>
      <c r="E154" t="s">
        <v>123</v>
      </c>
      <c r="F154">
        <v>1</v>
      </c>
    </row>
    <row r="155" spans="1:6" x14ac:dyDescent="0.25">
      <c r="A155">
        <v>3</v>
      </c>
      <c r="B155">
        <v>58</v>
      </c>
      <c r="C155" t="s">
        <v>122</v>
      </c>
      <c r="D155" t="s">
        <v>39</v>
      </c>
      <c r="E155" t="s">
        <v>123</v>
      </c>
      <c r="F155">
        <v>1</v>
      </c>
    </row>
    <row r="156" spans="1:6" x14ac:dyDescent="0.25">
      <c r="A156">
        <v>1</v>
      </c>
      <c r="B156">
        <v>59</v>
      </c>
      <c r="C156" t="s">
        <v>122</v>
      </c>
      <c r="D156" t="s">
        <v>20</v>
      </c>
      <c r="E156" t="s">
        <v>123</v>
      </c>
      <c r="F156">
        <v>1</v>
      </c>
    </row>
    <row r="157" spans="1:6" x14ac:dyDescent="0.25">
      <c r="A157">
        <v>2</v>
      </c>
      <c r="B157">
        <v>59</v>
      </c>
      <c r="C157" t="s">
        <v>122</v>
      </c>
      <c r="D157" t="s">
        <v>45</v>
      </c>
      <c r="E157" t="s">
        <v>123</v>
      </c>
      <c r="F157">
        <v>1</v>
      </c>
    </row>
    <row r="158" spans="1:6" x14ac:dyDescent="0.25">
      <c r="A158">
        <v>3</v>
      </c>
      <c r="B158">
        <v>59</v>
      </c>
      <c r="C158" t="s">
        <v>122</v>
      </c>
      <c r="D158" t="s">
        <v>96</v>
      </c>
      <c r="E158" t="s">
        <v>123</v>
      </c>
      <c r="F158">
        <v>1</v>
      </c>
    </row>
    <row r="159" spans="1:6" x14ac:dyDescent="0.25">
      <c r="A159">
        <v>1</v>
      </c>
      <c r="B159">
        <v>60</v>
      </c>
      <c r="C159" t="s">
        <v>122</v>
      </c>
      <c r="D159" t="s">
        <v>20</v>
      </c>
      <c r="E159" t="s">
        <v>123</v>
      </c>
      <c r="F159">
        <v>1</v>
      </c>
    </row>
    <row r="160" spans="1:6" x14ac:dyDescent="0.25">
      <c r="A160">
        <v>2</v>
      </c>
      <c r="B160">
        <v>60</v>
      </c>
      <c r="C160" t="s">
        <v>122</v>
      </c>
      <c r="D160" t="s">
        <v>39</v>
      </c>
      <c r="E160" t="s">
        <v>123</v>
      </c>
      <c r="F160">
        <v>1</v>
      </c>
    </row>
    <row r="161" spans="1:6" x14ac:dyDescent="0.25">
      <c r="A161">
        <v>3</v>
      </c>
      <c r="B161">
        <v>60</v>
      </c>
      <c r="C161" t="s">
        <v>122</v>
      </c>
      <c r="D161" t="s">
        <v>30</v>
      </c>
      <c r="E161" t="s">
        <v>123</v>
      </c>
      <c r="F161">
        <v>1</v>
      </c>
    </row>
    <row r="162" spans="1:6" x14ac:dyDescent="0.25">
      <c r="A162">
        <v>1</v>
      </c>
      <c r="B162">
        <v>61</v>
      </c>
      <c r="C162" t="s">
        <v>122</v>
      </c>
      <c r="D162" t="s">
        <v>20</v>
      </c>
      <c r="E162" t="s">
        <v>123</v>
      </c>
      <c r="F162">
        <v>1</v>
      </c>
    </row>
    <row r="163" spans="1:6" x14ac:dyDescent="0.25">
      <c r="A163">
        <v>2</v>
      </c>
      <c r="B163">
        <v>61</v>
      </c>
      <c r="C163" t="s">
        <v>122</v>
      </c>
      <c r="D163" t="s">
        <v>39</v>
      </c>
      <c r="E163" t="s">
        <v>123</v>
      </c>
      <c r="F163">
        <v>1</v>
      </c>
    </row>
    <row r="164" spans="1:6" x14ac:dyDescent="0.25">
      <c r="A164">
        <v>3</v>
      </c>
      <c r="B164">
        <v>61</v>
      </c>
      <c r="C164" t="s">
        <v>122</v>
      </c>
      <c r="D164" t="s">
        <v>97</v>
      </c>
      <c r="E164" t="s">
        <v>123</v>
      </c>
      <c r="F164">
        <v>1</v>
      </c>
    </row>
    <row r="165" spans="1:6" x14ac:dyDescent="0.25">
      <c r="A165">
        <v>1</v>
      </c>
      <c r="B165">
        <v>62</v>
      </c>
      <c r="C165" t="s">
        <v>122</v>
      </c>
      <c r="D165" t="s">
        <v>20</v>
      </c>
      <c r="E165" t="s">
        <v>123</v>
      </c>
      <c r="F165">
        <v>1</v>
      </c>
    </row>
    <row r="166" spans="1:6" x14ac:dyDescent="0.25">
      <c r="A166">
        <v>2</v>
      </c>
      <c r="B166">
        <v>62</v>
      </c>
      <c r="C166" t="s">
        <v>122</v>
      </c>
      <c r="D166" t="s">
        <v>96</v>
      </c>
      <c r="E166" t="s">
        <v>123</v>
      </c>
      <c r="F166">
        <v>1</v>
      </c>
    </row>
    <row r="167" spans="1:6" x14ac:dyDescent="0.25">
      <c r="A167">
        <v>3</v>
      </c>
      <c r="B167">
        <v>62</v>
      </c>
      <c r="C167" t="s">
        <v>122</v>
      </c>
      <c r="D167" t="s">
        <v>20</v>
      </c>
      <c r="E167" t="s">
        <v>123</v>
      </c>
      <c r="F167">
        <v>1</v>
      </c>
    </row>
    <row r="168" spans="1:6" x14ac:dyDescent="0.25">
      <c r="A168">
        <v>4</v>
      </c>
      <c r="B168">
        <v>62</v>
      </c>
      <c r="C168" t="s">
        <v>122</v>
      </c>
      <c r="D168" t="s">
        <v>39</v>
      </c>
      <c r="E168" t="s">
        <v>123</v>
      </c>
      <c r="F168">
        <v>1</v>
      </c>
    </row>
    <row r="169" spans="1:6" x14ac:dyDescent="0.25">
      <c r="A169">
        <v>1</v>
      </c>
      <c r="B169">
        <v>63</v>
      </c>
      <c r="C169" t="s">
        <v>122</v>
      </c>
      <c r="D169" t="s">
        <v>20</v>
      </c>
      <c r="E169" t="s">
        <v>123</v>
      </c>
      <c r="F169">
        <v>1</v>
      </c>
    </row>
    <row r="170" spans="1:6" x14ac:dyDescent="0.25">
      <c r="A170">
        <v>2</v>
      </c>
      <c r="B170">
        <v>63</v>
      </c>
      <c r="C170" t="s">
        <v>122</v>
      </c>
      <c r="D170" t="s">
        <v>96</v>
      </c>
      <c r="E170" t="s">
        <v>123</v>
      </c>
      <c r="F170">
        <v>1</v>
      </c>
    </row>
    <row r="171" spans="1:6" x14ac:dyDescent="0.25">
      <c r="A171">
        <v>3</v>
      </c>
      <c r="B171">
        <v>63</v>
      </c>
      <c r="C171" t="s">
        <v>122</v>
      </c>
      <c r="D171" t="s">
        <v>20</v>
      </c>
      <c r="E171" t="s">
        <v>123</v>
      </c>
      <c r="F171">
        <v>1</v>
      </c>
    </row>
    <row r="172" spans="1:6" x14ac:dyDescent="0.25">
      <c r="A172">
        <v>4</v>
      </c>
      <c r="B172">
        <v>63</v>
      </c>
      <c r="C172" t="s">
        <v>122</v>
      </c>
      <c r="D172" t="s">
        <v>96</v>
      </c>
      <c r="E172" t="s">
        <v>123</v>
      </c>
      <c r="F172">
        <v>1</v>
      </c>
    </row>
    <row r="173" spans="1:6" x14ac:dyDescent="0.25">
      <c r="A173">
        <v>5</v>
      </c>
      <c r="B173">
        <v>63</v>
      </c>
      <c r="C173" t="s">
        <v>122</v>
      </c>
      <c r="D173" t="s">
        <v>20</v>
      </c>
      <c r="E173" t="s">
        <v>123</v>
      </c>
      <c r="F173">
        <v>1</v>
      </c>
    </row>
    <row r="174" spans="1:6" x14ac:dyDescent="0.25">
      <c r="A174">
        <v>6</v>
      </c>
      <c r="B174">
        <v>63</v>
      </c>
      <c r="C174" t="s">
        <v>122</v>
      </c>
      <c r="D174" t="s">
        <v>96</v>
      </c>
      <c r="E174" t="s">
        <v>123</v>
      </c>
      <c r="F174">
        <v>1</v>
      </c>
    </row>
    <row r="175" spans="1:6" x14ac:dyDescent="0.25">
      <c r="A175">
        <v>1</v>
      </c>
      <c r="B175">
        <v>64</v>
      </c>
      <c r="C175" t="s">
        <v>122</v>
      </c>
      <c r="D175" t="s">
        <v>20</v>
      </c>
      <c r="E175" t="s">
        <v>123</v>
      </c>
      <c r="F175">
        <v>1</v>
      </c>
    </row>
    <row r="176" spans="1:6" x14ac:dyDescent="0.25">
      <c r="A176">
        <v>2</v>
      </c>
      <c r="B176">
        <v>64</v>
      </c>
      <c r="C176" t="s">
        <v>122</v>
      </c>
      <c r="D176" t="s">
        <v>96</v>
      </c>
      <c r="E176" t="s">
        <v>123</v>
      </c>
      <c r="F176">
        <v>1</v>
      </c>
    </row>
    <row r="177" spans="1:6" x14ac:dyDescent="0.25">
      <c r="A177">
        <v>3</v>
      </c>
      <c r="B177">
        <v>64</v>
      </c>
      <c r="C177" t="s">
        <v>122</v>
      </c>
      <c r="D177" t="s">
        <v>20</v>
      </c>
      <c r="E177" t="s">
        <v>123</v>
      </c>
      <c r="F177">
        <v>1</v>
      </c>
    </row>
    <row r="178" spans="1:6" x14ac:dyDescent="0.25">
      <c r="A178">
        <v>4</v>
      </c>
      <c r="B178">
        <v>64</v>
      </c>
      <c r="C178" t="s">
        <v>122</v>
      </c>
      <c r="D178" t="s">
        <v>96</v>
      </c>
      <c r="E178" t="s">
        <v>123</v>
      </c>
      <c r="F178">
        <v>1</v>
      </c>
    </row>
    <row r="179" spans="1:6" x14ac:dyDescent="0.25">
      <c r="A179">
        <v>5</v>
      </c>
      <c r="B179">
        <v>64</v>
      </c>
      <c r="C179" t="s">
        <v>122</v>
      </c>
      <c r="D179" t="s">
        <v>39</v>
      </c>
      <c r="E179" t="s">
        <v>123</v>
      </c>
      <c r="F179">
        <v>1</v>
      </c>
    </row>
    <row r="180" spans="1:6" x14ac:dyDescent="0.25">
      <c r="A180">
        <v>1</v>
      </c>
      <c r="B180">
        <v>65</v>
      </c>
      <c r="C180" t="s">
        <v>122</v>
      </c>
      <c r="D180" t="s">
        <v>20</v>
      </c>
      <c r="E180" t="s">
        <v>123</v>
      </c>
      <c r="F180">
        <v>1</v>
      </c>
    </row>
    <row r="181" spans="1:6" x14ac:dyDescent="0.25">
      <c r="A181">
        <v>2</v>
      </c>
      <c r="B181">
        <v>65</v>
      </c>
      <c r="C181" t="s">
        <v>122</v>
      </c>
      <c r="D181" t="s">
        <v>96</v>
      </c>
      <c r="E181" t="s">
        <v>123</v>
      </c>
      <c r="F181">
        <v>1</v>
      </c>
    </row>
    <row r="182" spans="1:6" x14ac:dyDescent="0.25">
      <c r="A182">
        <v>3</v>
      </c>
      <c r="B182">
        <v>65</v>
      </c>
      <c r="C182" t="s">
        <v>122</v>
      </c>
      <c r="D182" t="s">
        <v>39</v>
      </c>
      <c r="E182" t="s">
        <v>123</v>
      </c>
      <c r="F182">
        <v>1</v>
      </c>
    </row>
    <row r="183" spans="1:6" x14ac:dyDescent="0.25">
      <c r="A183">
        <v>1</v>
      </c>
      <c r="B183">
        <v>66</v>
      </c>
      <c r="C183" t="s">
        <v>122</v>
      </c>
      <c r="D183" t="s">
        <v>20</v>
      </c>
      <c r="E183" t="s">
        <v>123</v>
      </c>
      <c r="F183">
        <v>1</v>
      </c>
    </row>
    <row r="184" spans="1:6" x14ac:dyDescent="0.25">
      <c r="A184">
        <v>2</v>
      </c>
      <c r="B184">
        <v>66</v>
      </c>
      <c r="C184" t="s">
        <v>122</v>
      </c>
      <c r="D184" t="s">
        <v>37</v>
      </c>
      <c r="E184" t="s">
        <v>123</v>
      </c>
      <c r="F184">
        <v>1</v>
      </c>
    </row>
    <row r="185" spans="1:6" x14ac:dyDescent="0.25">
      <c r="A185">
        <v>3</v>
      </c>
      <c r="B185">
        <v>66</v>
      </c>
      <c r="C185" t="s">
        <v>122</v>
      </c>
      <c r="D185" t="s">
        <v>20</v>
      </c>
      <c r="E185" t="s">
        <v>123</v>
      </c>
      <c r="F185">
        <v>1</v>
      </c>
    </row>
    <row r="186" spans="1:6" x14ac:dyDescent="0.25">
      <c r="A186">
        <v>4</v>
      </c>
      <c r="B186">
        <v>66</v>
      </c>
      <c r="C186" t="s">
        <v>122</v>
      </c>
      <c r="D186" t="s">
        <v>45</v>
      </c>
      <c r="E186" t="s">
        <v>123</v>
      </c>
      <c r="F186">
        <v>1</v>
      </c>
    </row>
    <row r="187" spans="1:6" x14ac:dyDescent="0.25">
      <c r="A187">
        <v>1</v>
      </c>
      <c r="B187">
        <v>67</v>
      </c>
      <c r="C187" t="s">
        <v>124</v>
      </c>
      <c r="D187" t="s">
        <v>20</v>
      </c>
      <c r="E187" t="s">
        <v>125</v>
      </c>
      <c r="F187">
        <v>1</v>
      </c>
    </row>
    <row r="188" spans="1:6" x14ac:dyDescent="0.25">
      <c r="A188">
        <v>2</v>
      </c>
      <c r="B188">
        <v>67</v>
      </c>
      <c r="C188" t="s">
        <v>124</v>
      </c>
      <c r="D188" t="s">
        <v>30</v>
      </c>
      <c r="E188" t="s">
        <v>125</v>
      </c>
      <c r="F188">
        <v>1</v>
      </c>
    </row>
    <row r="189" spans="1:6" x14ac:dyDescent="0.25">
      <c r="A189">
        <v>3</v>
      </c>
      <c r="B189">
        <v>67</v>
      </c>
      <c r="C189" t="s">
        <v>124</v>
      </c>
      <c r="D189" t="s">
        <v>20</v>
      </c>
      <c r="E189" t="s">
        <v>125</v>
      </c>
      <c r="F189">
        <v>1</v>
      </c>
    </row>
    <row r="190" spans="1:6" x14ac:dyDescent="0.25">
      <c r="A190">
        <v>4</v>
      </c>
      <c r="B190">
        <v>67</v>
      </c>
      <c r="C190" t="s">
        <v>124</v>
      </c>
      <c r="D190" t="s">
        <v>30</v>
      </c>
      <c r="E190" t="s">
        <v>125</v>
      </c>
      <c r="F190">
        <v>1</v>
      </c>
    </row>
    <row r="191" spans="1:6" x14ac:dyDescent="0.25">
      <c r="A191">
        <v>1</v>
      </c>
      <c r="B191">
        <v>68</v>
      </c>
      <c r="C191" t="s">
        <v>126</v>
      </c>
      <c r="D191" t="s">
        <v>20</v>
      </c>
      <c r="E191" t="s">
        <v>127</v>
      </c>
      <c r="F191">
        <v>1</v>
      </c>
    </row>
    <row r="192" spans="1:6" x14ac:dyDescent="0.25">
      <c r="A192">
        <v>1</v>
      </c>
      <c r="B192">
        <v>69</v>
      </c>
      <c r="C192" t="s">
        <v>128</v>
      </c>
      <c r="D192" t="s">
        <v>20</v>
      </c>
      <c r="E192" t="s">
        <v>129</v>
      </c>
      <c r="F192">
        <v>1</v>
      </c>
    </row>
    <row r="193" spans="1:6" x14ac:dyDescent="0.25">
      <c r="A193">
        <v>2</v>
      </c>
      <c r="B193">
        <v>69</v>
      </c>
      <c r="C193" t="s">
        <v>128</v>
      </c>
      <c r="D193" t="s">
        <v>30</v>
      </c>
      <c r="E193" t="s">
        <v>129</v>
      </c>
      <c r="F193">
        <v>1</v>
      </c>
    </row>
    <row r="194" spans="1:6" x14ac:dyDescent="0.25">
      <c r="A194">
        <v>1</v>
      </c>
      <c r="B194">
        <v>70</v>
      </c>
      <c r="C194" t="s">
        <v>130</v>
      </c>
      <c r="D194" t="s">
        <v>20</v>
      </c>
      <c r="E194" t="s">
        <v>131</v>
      </c>
      <c r="F194">
        <v>1</v>
      </c>
    </row>
    <row r="195" spans="1:6" x14ac:dyDescent="0.25">
      <c r="A195">
        <v>2</v>
      </c>
      <c r="B195">
        <v>70</v>
      </c>
      <c r="C195" t="s">
        <v>130</v>
      </c>
      <c r="D195" t="s">
        <v>38</v>
      </c>
      <c r="E195" t="s">
        <v>131</v>
      </c>
      <c r="F195">
        <v>1</v>
      </c>
    </row>
    <row r="196" spans="1:6" x14ac:dyDescent="0.25">
      <c r="A196">
        <v>1</v>
      </c>
      <c r="B196">
        <v>71</v>
      </c>
      <c r="C196" t="s">
        <v>132</v>
      </c>
      <c r="D196" t="s">
        <v>20</v>
      </c>
      <c r="E196" t="s">
        <v>133</v>
      </c>
      <c r="F196">
        <v>16</v>
      </c>
    </row>
    <row r="197" spans="1:6" x14ac:dyDescent="0.25">
      <c r="A197">
        <v>2</v>
      </c>
      <c r="B197">
        <v>71</v>
      </c>
      <c r="C197" t="s">
        <v>132</v>
      </c>
      <c r="D197" t="s">
        <v>37</v>
      </c>
      <c r="E197" t="s">
        <v>133</v>
      </c>
      <c r="F197">
        <v>16</v>
      </c>
    </row>
    <row r="198" spans="1:6" x14ac:dyDescent="0.25">
      <c r="A198">
        <v>1</v>
      </c>
      <c r="B198">
        <v>72</v>
      </c>
      <c r="C198" t="s">
        <v>132</v>
      </c>
      <c r="D198" t="s">
        <v>20</v>
      </c>
      <c r="E198" t="s">
        <v>133</v>
      </c>
      <c r="F198">
        <v>9</v>
      </c>
    </row>
    <row r="199" spans="1:6" x14ac:dyDescent="0.25">
      <c r="A199">
        <v>2</v>
      </c>
      <c r="B199">
        <v>72</v>
      </c>
      <c r="C199" t="s">
        <v>132</v>
      </c>
      <c r="D199" t="s">
        <v>96</v>
      </c>
      <c r="E199" t="s">
        <v>133</v>
      </c>
      <c r="F199">
        <v>9</v>
      </c>
    </row>
    <row r="200" spans="1:6" x14ac:dyDescent="0.25">
      <c r="A200">
        <v>1</v>
      </c>
      <c r="B200">
        <v>73</v>
      </c>
      <c r="C200" t="s">
        <v>132</v>
      </c>
      <c r="D200" t="s">
        <v>20</v>
      </c>
      <c r="E200" t="s">
        <v>133</v>
      </c>
      <c r="F200">
        <v>4</v>
      </c>
    </row>
    <row r="201" spans="1:6" x14ac:dyDescent="0.25">
      <c r="A201">
        <v>2</v>
      </c>
      <c r="B201">
        <v>73</v>
      </c>
      <c r="C201" t="s">
        <v>132</v>
      </c>
      <c r="D201" t="s">
        <v>30</v>
      </c>
      <c r="E201" t="s">
        <v>133</v>
      </c>
      <c r="F201">
        <v>4</v>
      </c>
    </row>
    <row r="202" spans="1:6" x14ac:dyDescent="0.25">
      <c r="A202">
        <v>1</v>
      </c>
      <c r="B202">
        <v>74</v>
      </c>
      <c r="C202" t="s">
        <v>132</v>
      </c>
      <c r="D202" t="s">
        <v>20</v>
      </c>
      <c r="E202" t="s">
        <v>133</v>
      </c>
      <c r="F202">
        <v>3</v>
      </c>
    </row>
    <row r="203" spans="1:6" x14ac:dyDescent="0.25">
      <c r="A203">
        <v>2</v>
      </c>
      <c r="B203">
        <v>74</v>
      </c>
      <c r="C203" t="s">
        <v>132</v>
      </c>
      <c r="D203" t="s">
        <v>45</v>
      </c>
      <c r="E203" t="s">
        <v>133</v>
      </c>
      <c r="F203">
        <v>3</v>
      </c>
    </row>
    <row r="204" spans="1:6" x14ac:dyDescent="0.25">
      <c r="A204">
        <v>1</v>
      </c>
      <c r="B204">
        <v>75</v>
      </c>
      <c r="C204" t="s">
        <v>132</v>
      </c>
      <c r="D204" t="s">
        <v>20</v>
      </c>
      <c r="E204" t="s">
        <v>133</v>
      </c>
      <c r="F204">
        <v>3</v>
      </c>
    </row>
    <row r="205" spans="1:6" x14ac:dyDescent="0.25">
      <c r="A205">
        <v>2</v>
      </c>
      <c r="B205">
        <v>75</v>
      </c>
      <c r="C205" t="s">
        <v>132</v>
      </c>
      <c r="D205" t="s">
        <v>45</v>
      </c>
      <c r="E205" t="s">
        <v>133</v>
      </c>
      <c r="F205">
        <v>3</v>
      </c>
    </row>
    <row r="206" spans="1:6" x14ac:dyDescent="0.25">
      <c r="A206">
        <v>3</v>
      </c>
      <c r="B206">
        <v>75</v>
      </c>
      <c r="C206" t="s">
        <v>132</v>
      </c>
      <c r="D206" t="s">
        <v>97</v>
      </c>
      <c r="E206" t="s">
        <v>133</v>
      </c>
      <c r="F206">
        <v>3</v>
      </c>
    </row>
    <row r="207" spans="1:6" x14ac:dyDescent="0.25">
      <c r="A207">
        <v>1</v>
      </c>
      <c r="B207">
        <v>76</v>
      </c>
      <c r="C207" t="s">
        <v>132</v>
      </c>
      <c r="D207" t="s">
        <v>20</v>
      </c>
      <c r="E207" t="s">
        <v>133</v>
      </c>
      <c r="F207">
        <v>3</v>
      </c>
    </row>
    <row r="208" spans="1:6" x14ac:dyDescent="0.25">
      <c r="A208">
        <v>2</v>
      </c>
      <c r="B208">
        <v>76</v>
      </c>
      <c r="C208" t="s">
        <v>132</v>
      </c>
      <c r="D208" t="s">
        <v>39</v>
      </c>
      <c r="E208" t="s">
        <v>133</v>
      </c>
      <c r="F208">
        <v>3</v>
      </c>
    </row>
    <row r="209" spans="1:6" x14ac:dyDescent="0.25">
      <c r="A209">
        <v>3</v>
      </c>
      <c r="B209">
        <v>76</v>
      </c>
      <c r="C209" t="s">
        <v>132</v>
      </c>
      <c r="D209" t="s">
        <v>97</v>
      </c>
      <c r="E209" t="s">
        <v>133</v>
      </c>
      <c r="F209">
        <v>3</v>
      </c>
    </row>
    <row r="210" spans="1:6" x14ac:dyDescent="0.25">
      <c r="A210">
        <v>1</v>
      </c>
      <c r="B210">
        <v>77</v>
      </c>
      <c r="C210" t="s">
        <v>132</v>
      </c>
      <c r="D210" t="s">
        <v>20</v>
      </c>
      <c r="E210" t="s">
        <v>133</v>
      </c>
      <c r="F210">
        <v>2</v>
      </c>
    </row>
    <row r="211" spans="1:6" x14ac:dyDescent="0.25">
      <c r="A211">
        <v>2</v>
      </c>
      <c r="B211">
        <v>77</v>
      </c>
      <c r="C211" t="s">
        <v>132</v>
      </c>
      <c r="D211" t="s">
        <v>45</v>
      </c>
      <c r="E211" t="s">
        <v>133</v>
      </c>
      <c r="F211">
        <v>2</v>
      </c>
    </row>
    <row r="212" spans="1:6" x14ac:dyDescent="0.25">
      <c r="A212">
        <v>3</v>
      </c>
      <c r="B212">
        <v>77</v>
      </c>
      <c r="C212" t="s">
        <v>132</v>
      </c>
      <c r="D212" t="s">
        <v>39</v>
      </c>
      <c r="E212" t="s">
        <v>133</v>
      </c>
      <c r="F212">
        <v>2</v>
      </c>
    </row>
    <row r="213" spans="1:6" x14ac:dyDescent="0.25">
      <c r="A213">
        <v>1</v>
      </c>
      <c r="B213">
        <v>78</v>
      </c>
      <c r="C213" t="s">
        <v>132</v>
      </c>
      <c r="D213" t="s">
        <v>20</v>
      </c>
      <c r="E213" t="s">
        <v>133</v>
      </c>
      <c r="F213">
        <v>2</v>
      </c>
    </row>
    <row r="214" spans="1:6" x14ac:dyDescent="0.25">
      <c r="A214">
        <v>2</v>
      </c>
      <c r="B214">
        <v>78</v>
      </c>
      <c r="C214" t="s">
        <v>132</v>
      </c>
      <c r="D214" t="s">
        <v>39</v>
      </c>
      <c r="E214" t="s">
        <v>133</v>
      </c>
      <c r="F214">
        <v>2</v>
      </c>
    </row>
    <row r="215" spans="1:6" x14ac:dyDescent="0.25">
      <c r="A215">
        <v>3</v>
      </c>
      <c r="B215">
        <v>78</v>
      </c>
      <c r="C215" t="s">
        <v>132</v>
      </c>
      <c r="D215" t="s">
        <v>96</v>
      </c>
      <c r="E215" t="s">
        <v>133</v>
      </c>
      <c r="F215">
        <v>2</v>
      </c>
    </row>
    <row r="216" spans="1:6" x14ac:dyDescent="0.25">
      <c r="A216">
        <v>1</v>
      </c>
      <c r="B216">
        <v>79</v>
      </c>
      <c r="C216" t="s">
        <v>132</v>
      </c>
      <c r="D216" t="s">
        <v>20</v>
      </c>
      <c r="E216" t="s">
        <v>133</v>
      </c>
      <c r="F216">
        <v>1</v>
      </c>
    </row>
    <row r="217" spans="1:6" x14ac:dyDescent="0.25">
      <c r="A217">
        <v>2</v>
      </c>
      <c r="B217">
        <v>79</v>
      </c>
      <c r="C217" t="s">
        <v>132</v>
      </c>
      <c r="D217" t="s">
        <v>30</v>
      </c>
      <c r="E217" t="s">
        <v>133</v>
      </c>
      <c r="F217">
        <v>1</v>
      </c>
    </row>
    <row r="218" spans="1:6" x14ac:dyDescent="0.25">
      <c r="A218">
        <v>3</v>
      </c>
      <c r="B218">
        <v>79</v>
      </c>
      <c r="C218" t="s">
        <v>132</v>
      </c>
      <c r="D218" t="s">
        <v>39</v>
      </c>
      <c r="E218" t="s">
        <v>133</v>
      </c>
      <c r="F218">
        <v>1</v>
      </c>
    </row>
    <row r="219" spans="1:6" x14ac:dyDescent="0.25">
      <c r="A219">
        <v>1</v>
      </c>
      <c r="B219">
        <v>80</v>
      </c>
      <c r="C219" t="s">
        <v>132</v>
      </c>
      <c r="D219" t="s">
        <v>20</v>
      </c>
      <c r="E219" t="s">
        <v>133</v>
      </c>
      <c r="F219">
        <v>1</v>
      </c>
    </row>
    <row r="220" spans="1:6" x14ac:dyDescent="0.25">
      <c r="A220">
        <v>2</v>
      </c>
      <c r="B220">
        <v>80</v>
      </c>
      <c r="C220" t="s">
        <v>132</v>
      </c>
      <c r="D220" t="s">
        <v>39</v>
      </c>
      <c r="E220" t="s">
        <v>133</v>
      </c>
      <c r="F220">
        <v>1</v>
      </c>
    </row>
    <row r="221" spans="1:6" x14ac:dyDescent="0.25">
      <c r="A221">
        <v>3</v>
      </c>
      <c r="B221">
        <v>80</v>
      </c>
      <c r="C221" t="s">
        <v>132</v>
      </c>
      <c r="D221" t="s">
        <v>45</v>
      </c>
      <c r="E221" t="s">
        <v>133</v>
      </c>
      <c r="F221">
        <v>1</v>
      </c>
    </row>
    <row r="222" spans="1:6" x14ac:dyDescent="0.25">
      <c r="A222">
        <v>1</v>
      </c>
      <c r="B222">
        <v>81</v>
      </c>
      <c r="C222" t="s">
        <v>132</v>
      </c>
      <c r="D222" t="s">
        <v>20</v>
      </c>
      <c r="E222" t="s">
        <v>133</v>
      </c>
      <c r="F222">
        <v>1</v>
      </c>
    </row>
    <row r="223" spans="1:6" x14ac:dyDescent="0.25">
      <c r="A223">
        <v>2</v>
      </c>
      <c r="B223">
        <v>81</v>
      </c>
      <c r="C223" t="s">
        <v>132</v>
      </c>
      <c r="D223" t="s">
        <v>37</v>
      </c>
      <c r="E223" t="s">
        <v>133</v>
      </c>
      <c r="F223">
        <v>1</v>
      </c>
    </row>
    <row r="224" spans="1:6" x14ac:dyDescent="0.25">
      <c r="A224">
        <v>3</v>
      </c>
      <c r="B224">
        <v>81</v>
      </c>
      <c r="C224" t="s">
        <v>132</v>
      </c>
      <c r="D224" t="s">
        <v>20</v>
      </c>
      <c r="E224" t="s">
        <v>133</v>
      </c>
      <c r="F224">
        <v>1</v>
      </c>
    </row>
    <row r="225" spans="1:6" x14ac:dyDescent="0.25">
      <c r="A225">
        <v>4</v>
      </c>
      <c r="B225">
        <v>81</v>
      </c>
      <c r="C225" t="s">
        <v>132</v>
      </c>
      <c r="D225" t="s">
        <v>39</v>
      </c>
      <c r="E225" t="s">
        <v>133</v>
      </c>
      <c r="F225">
        <v>1</v>
      </c>
    </row>
    <row r="226" spans="1:6" x14ac:dyDescent="0.25">
      <c r="A226">
        <v>1</v>
      </c>
      <c r="B226">
        <v>82</v>
      </c>
      <c r="C226" t="s">
        <v>132</v>
      </c>
      <c r="D226" t="s">
        <v>20</v>
      </c>
      <c r="E226" t="s">
        <v>133</v>
      </c>
      <c r="F226">
        <v>1</v>
      </c>
    </row>
    <row r="227" spans="1:6" x14ac:dyDescent="0.25">
      <c r="A227">
        <v>2</v>
      </c>
      <c r="B227">
        <v>82</v>
      </c>
      <c r="C227" t="s">
        <v>132</v>
      </c>
      <c r="D227" t="s">
        <v>37</v>
      </c>
      <c r="E227" t="s">
        <v>133</v>
      </c>
      <c r="F227">
        <v>1</v>
      </c>
    </row>
    <row r="228" spans="1:6" x14ac:dyDescent="0.25">
      <c r="A228">
        <v>3</v>
      </c>
      <c r="B228">
        <v>82</v>
      </c>
      <c r="C228" t="s">
        <v>132</v>
      </c>
      <c r="D228" t="s">
        <v>20</v>
      </c>
      <c r="E228" t="s">
        <v>133</v>
      </c>
      <c r="F228">
        <v>1</v>
      </c>
    </row>
    <row r="229" spans="1:6" x14ac:dyDescent="0.25">
      <c r="A229">
        <v>4</v>
      </c>
      <c r="B229">
        <v>82</v>
      </c>
      <c r="C229" t="s">
        <v>132</v>
      </c>
      <c r="D229" t="s">
        <v>96</v>
      </c>
      <c r="E229" t="s">
        <v>133</v>
      </c>
      <c r="F229">
        <v>1</v>
      </c>
    </row>
    <row r="230" spans="1:6" x14ac:dyDescent="0.25">
      <c r="A230">
        <v>1</v>
      </c>
      <c r="B230">
        <v>83</v>
      </c>
      <c r="C230" t="s">
        <v>132</v>
      </c>
      <c r="D230" t="s">
        <v>39</v>
      </c>
      <c r="E230" t="s">
        <v>133</v>
      </c>
      <c r="F230">
        <v>1</v>
      </c>
    </row>
    <row r="231" spans="1:6" x14ac:dyDescent="0.25">
      <c r="A231">
        <v>2</v>
      </c>
      <c r="B231">
        <v>83</v>
      </c>
      <c r="C231" t="s">
        <v>132</v>
      </c>
      <c r="D231" t="s">
        <v>45</v>
      </c>
      <c r="E231" t="s">
        <v>133</v>
      </c>
      <c r="F231">
        <v>1</v>
      </c>
    </row>
    <row r="232" spans="1:6" x14ac:dyDescent="0.25">
      <c r="A232">
        <v>1</v>
      </c>
      <c r="B232">
        <v>84</v>
      </c>
      <c r="C232" t="s">
        <v>134</v>
      </c>
      <c r="D232" t="s">
        <v>20</v>
      </c>
      <c r="E232" t="s">
        <v>135</v>
      </c>
      <c r="F232">
        <v>9</v>
      </c>
    </row>
    <row r="233" spans="1:6" x14ac:dyDescent="0.25">
      <c r="A233">
        <v>2</v>
      </c>
      <c r="B233">
        <v>84</v>
      </c>
      <c r="C233" t="s">
        <v>134</v>
      </c>
      <c r="D233" t="s">
        <v>30</v>
      </c>
      <c r="E233" t="s">
        <v>135</v>
      </c>
      <c r="F233">
        <v>9</v>
      </c>
    </row>
    <row r="234" spans="1:6" x14ac:dyDescent="0.25">
      <c r="A234">
        <v>1</v>
      </c>
      <c r="B234">
        <v>85</v>
      </c>
      <c r="C234" t="s">
        <v>134</v>
      </c>
      <c r="D234" t="s">
        <v>20</v>
      </c>
      <c r="E234" t="s">
        <v>135</v>
      </c>
      <c r="F234">
        <v>3</v>
      </c>
    </row>
    <row r="235" spans="1:6" x14ac:dyDescent="0.25">
      <c r="A235">
        <v>2</v>
      </c>
      <c r="B235">
        <v>85</v>
      </c>
      <c r="C235" t="s">
        <v>134</v>
      </c>
      <c r="D235" t="s">
        <v>38</v>
      </c>
      <c r="E235" t="s">
        <v>135</v>
      </c>
      <c r="F235">
        <v>3</v>
      </c>
    </row>
    <row r="236" spans="1:6" x14ac:dyDescent="0.25">
      <c r="A236">
        <v>1</v>
      </c>
      <c r="B236">
        <v>86</v>
      </c>
      <c r="C236" t="s">
        <v>134</v>
      </c>
      <c r="D236" t="s">
        <v>20</v>
      </c>
      <c r="E236" t="s">
        <v>135</v>
      </c>
      <c r="F236">
        <v>2</v>
      </c>
    </row>
    <row r="237" spans="1:6" x14ac:dyDescent="0.25">
      <c r="A237">
        <v>2</v>
      </c>
      <c r="B237">
        <v>86</v>
      </c>
      <c r="C237" t="s">
        <v>134</v>
      </c>
      <c r="D237" t="s">
        <v>38</v>
      </c>
      <c r="E237" t="s">
        <v>135</v>
      </c>
      <c r="F237">
        <v>2</v>
      </c>
    </row>
    <row r="238" spans="1:6" x14ac:dyDescent="0.25">
      <c r="A238">
        <v>1</v>
      </c>
      <c r="B238">
        <v>87</v>
      </c>
      <c r="C238" t="s">
        <v>136</v>
      </c>
      <c r="D238" t="s">
        <v>20</v>
      </c>
      <c r="E238" t="s">
        <v>137</v>
      </c>
      <c r="F238">
        <v>1</v>
      </c>
    </row>
    <row r="239" spans="1:6" x14ac:dyDescent="0.25">
      <c r="A239">
        <v>2</v>
      </c>
      <c r="B239">
        <v>87</v>
      </c>
      <c r="C239" t="s">
        <v>136</v>
      </c>
      <c r="D239" t="s">
        <v>38</v>
      </c>
      <c r="E239" t="s">
        <v>137</v>
      </c>
      <c r="F239">
        <v>1</v>
      </c>
    </row>
    <row r="240" spans="1:6" x14ac:dyDescent="0.25">
      <c r="A240">
        <v>1</v>
      </c>
      <c r="B240">
        <v>88</v>
      </c>
      <c r="C240" t="s">
        <v>138</v>
      </c>
      <c r="D240" t="s">
        <v>20</v>
      </c>
      <c r="E240" t="s">
        <v>139</v>
      </c>
      <c r="F240">
        <v>1</v>
      </c>
    </row>
    <row r="241" spans="1:6" x14ac:dyDescent="0.25">
      <c r="A241">
        <v>2</v>
      </c>
      <c r="B241">
        <v>88</v>
      </c>
      <c r="C241" t="s">
        <v>138</v>
      </c>
      <c r="D241" t="s">
        <v>30</v>
      </c>
      <c r="E241" t="s">
        <v>139</v>
      </c>
      <c r="F241">
        <v>1</v>
      </c>
    </row>
    <row r="242" spans="1:6" x14ac:dyDescent="0.25">
      <c r="A242">
        <v>1</v>
      </c>
      <c r="B242">
        <v>89</v>
      </c>
      <c r="C242" t="s">
        <v>140</v>
      </c>
      <c r="D242" t="s">
        <v>20</v>
      </c>
      <c r="E242" t="s">
        <v>141</v>
      </c>
      <c r="F242">
        <v>2</v>
      </c>
    </row>
    <row r="243" spans="1:6" x14ac:dyDescent="0.25">
      <c r="A243">
        <v>2</v>
      </c>
      <c r="B243">
        <v>89</v>
      </c>
      <c r="C243" t="s">
        <v>140</v>
      </c>
      <c r="D243" t="s">
        <v>30</v>
      </c>
      <c r="E243" t="s">
        <v>141</v>
      </c>
      <c r="F243">
        <v>2</v>
      </c>
    </row>
    <row r="244" spans="1:6" x14ac:dyDescent="0.25">
      <c r="A244">
        <v>1</v>
      </c>
      <c r="B244">
        <v>90</v>
      </c>
      <c r="C244" t="s">
        <v>142</v>
      </c>
      <c r="D244" t="s">
        <v>20</v>
      </c>
      <c r="E244" t="s">
        <v>143</v>
      </c>
      <c r="F244">
        <v>1</v>
      </c>
    </row>
    <row r="245" spans="1:6" x14ac:dyDescent="0.25">
      <c r="A245">
        <v>2</v>
      </c>
      <c r="B245">
        <v>90</v>
      </c>
      <c r="C245" t="s">
        <v>142</v>
      </c>
      <c r="D245" t="s">
        <v>30</v>
      </c>
      <c r="E245" t="s">
        <v>143</v>
      </c>
      <c r="F245">
        <v>1</v>
      </c>
    </row>
    <row r="246" spans="1:6" x14ac:dyDescent="0.25">
      <c r="A246">
        <v>1</v>
      </c>
      <c r="B246">
        <v>91</v>
      </c>
      <c r="C246" t="s">
        <v>144</v>
      </c>
      <c r="D246" t="s">
        <v>20</v>
      </c>
      <c r="E246" t="s">
        <v>145</v>
      </c>
      <c r="F246">
        <v>1</v>
      </c>
    </row>
    <row r="247" spans="1:6" x14ac:dyDescent="0.25">
      <c r="A247">
        <v>2</v>
      </c>
      <c r="B247">
        <v>91</v>
      </c>
      <c r="C247" t="s">
        <v>144</v>
      </c>
      <c r="D247" t="s">
        <v>30</v>
      </c>
      <c r="E247" t="s">
        <v>145</v>
      </c>
      <c r="F247">
        <v>1</v>
      </c>
    </row>
    <row r="248" spans="1:6" x14ac:dyDescent="0.25">
      <c r="A248">
        <v>1</v>
      </c>
      <c r="B248">
        <v>92</v>
      </c>
      <c r="C248" t="s">
        <v>146</v>
      </c>
      <c r="D248" t="s">
        <v>20</v>
      </c>
      <c r="E248" t="s">
        <v>147</v>
      </c>
      <c r="F248">
        <v>1</v>
      </c>
    </row>
    <row r="249" spans="1:6" x14ac:dyDescent="0.25">
      <c r="A249">
        <v>2</v>
      </c>
      <c r="B249">
        <v>92</v>
      </c>
      <c r="C249" t="s">
        <v>146</v>
      </c>
      <c r="D249" t="s">
        <v>38</v>
      </c>
      <c r="E249" t="s">
        <v>147</v>
      </c>
      <c r="F249">
        <v>1</v>
      </c>
    </row>
    <row r="250" spans="1:6" x14ac:dyDescent="0.25">
      <c r="A250">
        <v>1</v>
      </c>
      <c r="B250">
        <v>93</v>
      </c>
      <c r="C250" t="s">
        <v>148</v>
      </c>
      <c r="D250" t="s">
        <v>30</v>
      </c>
      <c r="E250" t="s">
        <v>149</v>
      </c>
      <c r="F250">
        <v>1</v>
      </c>
    </row>
    <row r="251" spans="1:6" x14ac:dyDescent="0.25">
      <c r="A251">
        <v>1</v>
      </c>
      <c r="B251">
        <v>94</v>
      </c>
      <c r="C251" t="s">
        <v>148</v>
      </c>
      <c r="D251" t="s">
        <v>20</v>
      </c>
      <c r="E251" t="s">
        <v>149</v>
      </c>
      <c r="F251">
        <v>1</v>
      </c>
    </row>
    <row r="252" spans="1:6" x14ac:dyDescent="0.25">
      <c r="A252">
        <v>2</v>
      </c>
      <c r="B252">
        <v>94</v>
      </c>
      <c r="C252" t="s">
        <v>148</v>
      </c>
      <c r="D252" t="s">
        <v>38</v>
      </c>
      <c r="E252" t="s">
        <v>149</v>
      </c>
      <c r="F252">
        <v>1</v>
      </c>
    </row>
    <row r="253" spans="1:6" x14ac:dyDescent="0.25">
      <c r="A253">
        <v>1</v>
      </c>
      <c r="B253">
        <v>95</v>
      </c>
      <c r="C253" t="s">
        <v>150</v>
      </c>
      <c r="D253" t="s">
        <v>20</v>
      </c>
      <c r="E253" t="s">
        <v>151</v>
      </c>
      <c r="F253">
        <v>1</v>
      </c>
    </row>
    <row r="254" spans="1:6" x14ac:dyDescent="0.25">
      <c r="A254">
        <v>2</v>
      </c>
      <c r="B254">
        <v>95</v>
      </c>
      <c r="C254" t="s">
        <v>150</v>
      </c>
      <c r="D254" t="s">
        <v>38</v>
      </c>
      <c r="E254" t="s">
        <v>151</v>
      </c>
      <c r="F254">
        <v>1</v>
      </c>
    </row>
    <row r="255" spans="1:6" x14ac:dyDescent="0.25">
      <c r="A255">
        <v>1</v>
      </c>
      <c r="B255">
        <v>96</v>
      </c>
      <c r="C255" t="s">
        <v>152</v>
      </c>
      <c r="D255" t="s">
        <v>20</v>
      </c>
      <c r="E255" t="s">
        <v>153</v>
      </c>
      <c r="F255">
        <v>1</v>
      </c>
    </row>
    <row r="256" spans="1:6" x14ac:dyDescent="0.25">
      <c r="A256">
        <v>2</v>
      </c>
      <c r="B256">
        <v>96</v>
      </c>
      <c r="C256" t="s">
        <v>152</v>
      </c>
      <c r="D256" t="s">
        <v>30</v>
      </c>
      <c r="E256" t="s">
        <v>153</v>
      </c>
      <c r="F256">
        <v>1</v>
      </c>
    </row>
    <row r="257" spans="1:6" x14ac:dyDescent="0.25">
      <c r="A257">
        <v>1</v>
      </c>
      <c r="B257">
        <v>97</v>
      </c>
      <c r="C257" t="s">
        <v>154</v>
      </c>
      <c r="D257" t="s">
        <v>20</v>
      </c>
      <c r="E257" t="s">
        <v>155</v>
      </c>
      <c r="F257">
        <v>13</v>
      </c>
    </row>
    <row r="258" spans="1:6" x14ac:dyDescent="0.25">
      <c r="A258">
        <v>2</v>
      </c>
      <c r="B258">
        <v>97</v>
      </c>
      <c r="C258" t="s">
        <v>154</v>
      </c>
      <c r="D258" t="s">
        <v>37</v>
      </c>
      <c r="E258" t="s">
        <v>155</v>
      </c>
      <c r="F258">
        <v>13</v>
      </c>
    </row>
    <row r="259" spans="1:6" x14ac:dyDescent="0.25">
      <c r="A259">
        <v>1</v>
      </c>
      <c r="B259">
        <v>98</v>
      </c>
      <c r="C259" t="s">
        <v>154</v>
      </c>
      <c r="D259" t="s">
        <v>20</v>
      </c>
      <c r="E259" t="s">
        <v>155</v>
      </c>
      <c r="F259">
        <v>12</v>
      </c>
    </row>
    <row r="260" spans="1:6" x14ac:dyDescent="0.25">
      <c r="A260">
        <v>2</v>
      </c>
      <c r="B260">
        <v>98</v>
      </c>
      <c r="C260" t="s">
        <v>154</v>
      </c>
      <c r="D260" t="s">
        <v>96</v>
      </c>
      <c r="E260" t="s">
        <v>155</v>
      </c>
      <c r="F260">
        <v>12</v>
      </c>
    </row>
    <row r="261" spans="1:6" x14ac:dyDescent="0.25">
      <c r="A261">
        <v>1</v>
      </c>
      <c r="B261">
        <v>99</v>
      </c>
      <c r="C261" t="s">
        <v>154</v>
      </c>
      <c r="D261" t="s">
        <v>20</v>
      </c>
      <c r="E261" t="s">
        <v>155</v>
      </c>
      <c r="F261">
        <v>6</v>
      </c>
    </row>
    <row r="262" spans="1:6" x14ac:dyDescent="0.25">
      <c r="A262">
        <v>2</v>
      </c>
      <c r="B262">
        <v>99</v>
      </c>
      <c r="C262" t="s">
        <v>154</v>
      </c>
      <c r="D262" t="s">
        <v>39</v>
      </c>
      <c r="E262" t="s">
        <v>155</v>
      </c>
      <c r="F262">
        <v>6</v>
      </c>
    </row>
    <row r="263" spans="1:6" x14ac:dyDescent="0.25">
      <c r="A263">
        <v>1</v>
      </c>
      <c r="B263">
        <v>100</v>
      </c>
      <c r="C263" t="s">
        <v>154</v>
      </c>
      <c r="D263" t="s">
        <v>20</v>
      </c>
      <c r="E263" t="s">
        <v>155</v>
      </c>
      <c r="F263">
        <v>5</v>
      </c>
    </row>
    <row r="264" spans="1:6" x14ac:dyDescent="0.25">
      <c r="A264">
        <v>2</v>
      </c>
      <c r="B264">
        <v>100</v>
      </c>
      <c r="C264" t="s">
        <v>154</v>
      </c>
      <c r="D264" t="s">
        <v>45</v>
      </c>
      <c r="E264" t="s">
        <v>155</v>
      </c>
      <c r="F264">
        <v>5</v>
      </c>
    </row>
    <row r="265" spans="1:6" x14ac:dyDescent="0.25">
      <c r="A265">
        <v>1</v>
      </c>
      <c r="B265">
        <v>101</v>
      </c>
      <c r="C265" t="s">
        <v>154</v>
      </c>
      <c r="D265" t="s">
        <v>20</v>
      </c>
      <c r="E265" t="s">
        <v>155</v>
      </c>
      <c r="F265">
        <v>4</v>
      </c>
    </row>
    <row r="266" spans="1:6" x14ac:dyDescent="0.25">
      <c r="A266">
        <v>2</v>
      </c>
      <c r="B266">
        <v>101</v>
      </c>
      <c r="C266" t="s">
        <v>154</v>
      </c>
      <c r="D266" t="s">
        <v>45</v>
      </c>
      <c r="E266" t="s">
        <v>155</v>
      </c>
      <c r="F266">
        <v>4</v>
      </c>
    </row>
    <row r="267" spans="1:6" x14ac:dyDescent="0.25">
      <c r="A267">
        <v>3</v>
      </c>
      <c r="B267">
        <v>101</v>
      </c>
      <c r="C267" t="s">
        <v>154</v>
      </c>
      <c r="D267" t="s">
        <v>39</v>
      </c>
      <c r="E267" t="s">
        <v>155</v>
      </c>
      <c r="F267">
        <v>4</v>
      </c>
    </row>
    <row r="268" spans="1:6" x14ac:dyDescent="0.25">
      <c r="A268">
        <v>1</v>
      </c>
      <c r="B268">
        <v>102</v>
      </c>
      <c r="C268" t="s">
        <v>154</v>
      </c>
      <c r="D268" t="s">
        <v>20</v>
      </c>
      <c r="E268" t="s">
        <v>155</v>
      </c>
      <c r="F268">
        <v>3</v>
      </c>
    </row>
    <row r="269" spans="1:6" x14ac:dyDescent="0.25">
      <c r="A269">
        <v>2</v>
      </c>
      <c r="B269">
        <v>102</v>
      </c>
      <c r="C269" t="s">
        <v>154</v>
      </c>
      <c r="D269" t="s">
        <v>45</v>
      </c>
      <c r="E269" t="s">
        <v>155</v>
      </c>
      <c r="F269">
        <v>3</v>
      </c>
    </row>
    <row r="270" spans="1:6" x14ac:dyDescent="0.25">
      <c r="A270">
        <v>3</v>
      </c>
      <c r="B270">
        <v>102</v>
      </c>
      <c r="C270" t="s">
        <v>154</v>
      </c>
      <c r="D270" t="s">
        <v>97</v>
      </c>
      <c r="E270" t="s">
        <v>155</v>
      </c>
      <c r="F270">
        <v>3</v>
      </c>
    </row>
    <row r="271" spans="1:6" x14ac:dyDescent="0.25">
      <c r="A271">
        <v>1</v>
      </c>
      <c r="B271">
        <v>103</v>
      </c>
      <c r="C271" t="s">
        <v>154</v>
      </c>
      <c r="D271" t="s">
        <v>20</v>
      </c>
      <c r="E271" t="s">
        <v>155</v>
      </c>
      <c r="F271">
        <v>3</v>
      </c>
    </row>
    <row r="272" spans="1:6" x14ac:dyDescent="0.25">
      <c r="A272">
        <v>2</v>
      </c>
      <c r="B272">
        <v>103</v>
      </c>
      <c r="C272" t="s">
        <v>154</v>
      </c>
      <c r="D272" t="s">
        <v>45</v>
      </c>
      <c r="E272" t="s">
        <v>155</v>
      </c>
      <c r="F272">
        <v>3</v>
      </c>
    </row>
    <row r="273" spans="1:6" x14ac:dyDescent="0.25">
      <c r="A273">
        <v>3</v>
      </c>
      <c r="B273">
        <v>103</v>
      </c>
      <c r="C273" t="s">
        <v>154</v>
      </c>
      <c r="D273" t="s">
        <v>96</v>
      </c>
      <c r="E273" t="s">
        <v>155</v>
      </c>
      <c r="F273">
        <v>3</v>
      </c>
    </row>
    <row r="274" spans="1:6" x14ac:dyDescent="0.25">
      <c r="A274">
        <v>1</v>
      </c>
      <c r="B274">
        <v>104</v>
      </c>
      <c r="C274" t="s">
        <v>154</v>
      </c>
      <c r="D274" t="s">
        <v>98</v>
      </c>
      <c r="E274" t="s">
        <v>155</v>
      </c>
      <c r="F274">
        <v>2</v>
      </c>
    </row>
    <row r="275" spans="1:6" x14ac:dyDescent="0.25">
      <c r="A275">
        <v>2</v>
      </c>
      <c r="B275">
        <v>104</v>
      </c>
      <c r="C275" t="s">
        <v>154</v>
      </c>
      <c r="D275" t="s">
        <v>37</v>
      </c>
      <c r="E275" t="s">
        <v>155</v>
      </c>
      <c r="F275">
        <v>2</v>
      </c>
    </row>
    <row r="276" spans="1:6" x14ac:dyDescent="0.25">
      <c r="A276">
        <v>1</v>
      </c>
      <c r="B276">
        <v>105</v>
      </c>
      <c r="C276" t="s">
        <v>154</v>
      </c>
      <c r="D276" t="s">
        <v>20</v>
      </c>
      <c r="E276" t="s">
        <v>155</v>
      </c>
      <c r="F276">
        <v>2</v>
      </c>
    </row>
    <row r="277" spans="1:6" x14ac:dyDescent="0.25">
      <c r="A277">
        <v>2</v>
      </c>
      <c r="B277">
        <v>105</v>
      </c>
      <c r="C277" t="s">
        <v>154</v>
      </c>
      <c r="D277" t="s">
        <v>39</v>
      </c>
      <c r="E277" t="s">
        <v>155</v>
      </c>
      <c r="F277">
        <v>2</v>
      </c>
    </row>
    <row r="278" spans="1:6" x14ac:dyDescent="0.25">
      <c r="A278">
        <v>3</v>
      </c>
      <c r="B278">
        <v>105</v>
      </c>
      <c r="C278" t="s">
        <v>154</v>
      </c>
      <c r="D278" t="s">
        <v>97</v>
      </c>
      <c r="E278" t="s">
        <v>155</v>
      </c>
      <c r="F278">
        <v>2</v>
      </c>
    </row>
    <row r="279" spans="1:6" x14ac:dyDescent="0.25">
      <c r="A279">
        <v>1</v>
      </c>
      <c r="B279">
        <v>106</v>
      </c>
      <c r="C279" t="s">
        <v>154</v>
      </c>
      <c r="D279" t="s">
        <v>30</v>
      </c>
      <c r="E279" t="s">
        <v>155</v>
      </c>
      <c r="F279">
        <v>1</v>
      </c>
    </row>
    <row r="280" spans="1:6" x14ac:dyDescent="0.25">
      <c r="A280">
        <v>2</v>
      </c>
      <c r="B280">
        <v>106</v>
      </c>
      <c r="C280" t="s">
        <v>154</v>
      </c>
      <c r="D280" t="s">
        <v>20</v>
      </c>
      <c r="E280" t="s">
        <v>155</v>
      </c>
      <c r="F280">
        <v>1</v>
      </c>
    </row>
    <row r="281" spans="1:6" x14ac:dyDescent="0.25">
      <c r="A281">
        <v>1</v>
      </c>
      <c r="B281">
        <v>107</v>
      </c>
      <c r="C281" t="s">
        <v>154</v>
      </c>
      <c r="D281" t="s">
        <v>30</v>
      </c>
      <c r="E281" t="s">
        <v>155</v>
      </c>
      <c r="F281">
        <v>1</v>
      </c>
    </row>
    <row r="282" spans="1:6" x14ac:dyDescent="0.25">
      <c r="A282">
        <v>2</v>
      </c>
      <c r="B282">
        <v>107</v>
      </c>
      <c r="C282" t="s">
        <v>154</v>
      </c>
      <c r="D282" t="s">
        <v>20</v>
      </c>
      <c r="E282" t="s">
        <v>155</v>
      </c>
      <c r="F282">
        <v>1</v>
      </c>
    </row>
    <row r="283" spans="1:6" x14ac:dyDescent="0.25">
      <c r="A283">
        <v>3</v>
      </c>
      <c r="B283">
        <v>107</v>
      </c>
      <c r="C283" t="s">
        <v>154</v>
      </c>
      <c r="D283" t="s">
        <v>39</v>
      </c>
      <c r="E283" t="s">
        <v>155</v>
      </c>
      <c r="F283">
        <v>1</v>
      </c>
    </row>
    <row r="284" spans="1:6" x14ac:dyDescent="0.25">
      <c r="A284">
        <v>1</v>
      </c>
      <c r="B284">
        <v>108</v>
      </c>
      <c r="C284" t="s">
        <v>154</v>
      </c>
      <c r="D284" t="s">
        <v>20</v>
      </c>
      <c r="E284" t="s">
        <v>155</v>
      </c>
      <c r="F284">
        <v>1</v>
      </c>
    </row>
    <row r="285" spans="1:6" x14ac:dyDescent="0.25">
      <c r="A285">
        <v>2</v>
      </c>
      <c r="B285">
        <v>108</v>
      </c>
      <c r="C285" t="s">
        <v>154</v>
      </c>
      <c r="D285" t="s">
        <v>30</v>
      </c>
      <c r="E285" t="s">
        <v>155</v>
      </c>
      <c r="F285">
        <v>1</v>
      </c>
    </row>
    <row r="286" spans="1:6" x14ac:dyDescent="0.25">
      <c r="A286">
        <v>3</v>
      </c>
      <c r="B286">
        <v>108</v>
      </c>
      <c r="C286" t="s">
        <v>154</v>
      </c>
      <c r="D286" t="s">
        <v>20</v>
      </c>
      <c r="E286" t="s">
        <v>155</v>
      </c>
      <c r="F286">
        <v>1</v>
      </c>
    </row>
    <row r="287" spans="1:6" x14ac:dyDescent="0.25">
      <c r="A287">
        <v>4</v>
      </c>
      <c r="B287">
        <v>108</v>
      </c>
      <c r="C287" t="s">
        <v>154</v>
      </c>
      <c r="D287" t="s">
        <v>30</v>
      </c>
      <c r="E287" t="s">
        <v>155</v>
      </c>
      <c r="F287">
        <v>1</v>
      </c>
    </row>
    <row r="288" spans="1:6" x14ac:dyDescent="0.25">
      <c r="A288">
        <v>5</v>
      </c>
      <c r="B288">
        <v>108</v>
      </c>
      <c r="C288" t="s">
        <v>154</v>
      </c>
      <c r="D288" t="s">
        <v>45</v>
      </c>
      <c r="E288" t="s">
        <v>155</v>
      </c>
      <c r="F288">
        <v>1</v>
      </c>
    </row>
    <row r="289" spans="1:6" x14ac:dyDescent="0.25">
      <c r="A289">
        <v>6</v>
      </c>
      <c r="B289">
        <v>108</v>
      </c>
      <c r="C289" t="s">
        <v>154</v>
      </c>
      <c r="D289" t="s">
        <v>98</v>
      </c>
      <c r="E289" t="s">
        <v>155</v>
      </c>
      <c r="F289">
        <v>1</v>
      </c>
    </row>
    <row r="290" spans="1:6" x14ac:dyDescent="0.25">
      <c r="A290">
        <v>7</v>
      </c>
      <c r="B290">
        <v>108</v>
      </c>
      <c r="C290" t="s">
        <v>154</v>
      </c>
      <c r="D290" t="s">
        <v>97</v>
      </c>
      <c r="E290" t="s">
        <v>155</v>
      </c>
      <c r="F290">
        <v>1</v>
      </c>
    </row>
    <row r="291" spans="1:6" x14ac:dyDescent="0.25">
      <c r="A291">
        <v>1</v>
      </c>
      <c r="B291">
        <v>109</v>
      </c>
      <c r="C291" t="s">
        <v>154</v>
      </c>
      <c r="D291" t="s">
        <v>20</v>
      </c>
      <c r="E291" t="s">
        <v>155</v>
      </c>
      <c r="F291">
        <v>1</v>
      </c>
    </row>
    <row r="292" spans="1:6" x14ac:dyDescent="0.25">
      <c r="A292">
        <v>2</v>
      </c>
      <c r="B292">
        <v>109</v>
      </c>
      <c r="C292" t="s">
        <v>154</v>
      </c>
      <c r="D292" t="s">
        <v>30</v>
      </c>
      <c r="E292" t="s">
        <v>155</v>
      </c>
      <c r="F292">
        <v>1</v>
      </c>
    </row>
    <row r="293" spans="1:6" x14ac:dyDescent="0.25">
      <c r="A293">
        <v>3</v>
      </c>
      <c r="B293">
        <v>109</v>
      </c>
      <c r="C293" t="s">
        <v>154</v>
      </c>
      <c r="D293" t="s">
        <v>45</v>
      </c>
      <c r="E293" t="s">
        <v>155</v>
      </c>
      <c r="F293">
        <v>1</v>
      </c>
    </row>
    <row r="294" spans="1:6" x14ac:dyDescent="0.25">
      <c r="A294">
        <v>4</v>
      </c>
      <c r="B294">
        <v>109</v>
      </c>
      <c r="C294" t="s">
        <v>154</v>
      </c>
      <c r="D294" t="s">
        <v>45</v>
      </c>
      <c r="E294" t="s">
        <v>155</v>
      </c>
      <c r="F294">
        <v>1</v>
      </c>
    </row>
    <row r="295" spans="1:6" x14ac:dyDescent="0.25">
      <c r="A295">
        <v>5</v>
      </c>
      <c r="B295">
        <v>109</v>
      </c>
      <c r="C295" t="s">
        <v>154</v>
      </c>
      <c r="D295" t="s">
        <v>30</v>
      </c>
      <c r="E295" t="s">
        <v>155</v>
      </c>
      <c r="F295">
        <v>1</v>
      </c>
    </row>
    <row r="296" spans="1:6" x14ac:dyDescent="0.25">
      <c r="A296">
        <v>1</v>
      </c>
      <c r="B296">
        <v>110</v>
      </c>
      <c r="C296" t="s">
        <v>154</v>
      </c>
      <c r="D296" t="s">
        <v>20</v>
      </c>
      <c r="E296" t="s">
        <v>155</v>
      </c>
      <c r="F296">
        <v>1</v>
      </c>
    </row>
    <row r="297" spans="1:6" x14ac:dyDescent="0.25">
      <c r="A297">
        <v>2</v>
      </c>
      <c r="B297">
        <v>110</v>
      </c>
      <c r="C297" t="s">
        <v>154</v>
      </c>
      <c r="D297" t="s">
        <v>45</v>
      </c>
      <c r="E297" t="s">
        <v>155</v>
      </c>
      <c r="F297">
        <v>1</v>
      </c>
    </row>
    <row r="298" spans="1:6" x14ac:dyDescent="0.25">
      <c r="A298">
        <v>3</v>
      </c>
      <c r="B298">
        <v>110</v>
      </c>
      <c r="C298" t="s">
        <v>154</v>
      </c>
      <c r="D298" t="s">
        <v>98</v>
      </c>
      <c r="E298" t="s">
        <v>155</v>
      </c>
      <c r="F298">
        <v>1</v>
      </c>
    </row>
    <row r="299" spans="1:6" x14ac:dyDescent="0.25">
      <c r="A299">
        <v>4</v>
      </c>
      <c r="B299">
        <v>110</v>
      </c>
      <c r="C299" t="s">
        <v>154</v>
      </c>
      <c r="D299" t="s">
        <v>45</v>
      </c>
      <c r="E299" t="s">
        <v>155</v>
      </c>
      <c r="F299">
        <v>1</v>
      </c>
    </row>
    <row r="300" spans="1:6" x14ac:dyDescent="0.25">
      <c r="A300">
        <v>5</v>
      </c>
      <c r="B300">
        <v>110</v>
      </c>
      <c r="C300" t="s">
        <v>154</v>
      </c>
      <c r="D300" t="s">
        <v>97</v>
      </c>
      <c r="E300" t="s">
        <v>155</v>
      </c>
      <c r="F300">
        <v>1</v>
      </c>
    </row>
    <row r="301" spans="1:6" x14ac:dyDescent="0.25">
      <c r="A301">
        <v>1</v>
      </c>
      <c r="B301">
        <v>111</v>
      </c>
      <c r="C301" t="s">
        <v>154</v>
      </c>
      <c r="D301" t="s">
        <v>20</v>
      </c>
      <c r="E301" t="s">
        <v>155</v>
      </c>
      <c r="F301">
        <v>1</v>
      </c>
    </row>
    <row r="302" spans="1:6" x14ac:dyDescent="0.25">
      <c r="A302">
        <v>2</v>
      </c>
      <c r="B302">
        <v>111</v>
      </c>
      <c r="C302" t="s">
        <v>154</v>
      </c>
      <c r="D302" t="s">
        <v>45</v>
      </c>
      <c r="E302" t="s">
        <v>155</v>
      </c>
      <c r="F302">
        <v>1</v>
      </c>
    </row>
    <row r="303" spans="1:6" x14ac:dyDescent="0.25">
      <c r="A303">
        <v>3</v>
      </c>
      <c r="B303">
        <v>111</v>
      </c>
      <c r="C303" t="s">
        <v>154</v>
      </c>
      <c r="D303" t="s">
        <v>97</v>
      </c>
      <c r="E303" t="s">
        <v>155</v>
      </c>
      <c r="F303">
        <v>1</v>
      </c>
    </row>
    <row r="304" spans="1:6" x14ac:dyDescent="0.25">
      <c r="A304">
        <v>1</v>
      </c>
      <c r="B304">
        <v>112</v>
      </c>
      <c r="C304" t="s">
        <v>154</v>
      </c>
      <c r="D304" t="s">
        <v>20</v>
      </c>
      <c r="E304" t="s">
        <v>155</v>
      </c>
      <c r="F304">
        <v>1</v>
      </c>
    </row>
    <row r="305" spans="1:6" x14ac:dyDescent="0.25">
      <c r="A305">
        <v>2</v>
      </c>
      <c r="B305">
        <v>112</v>
      </c>
      <c r="C305" t="s">
        <v>154</v>
      </c>
      <c r="D305" t="s">
        <v>39</v>
      </c>
      <c r="E305" t="s">
        <v>155</v>
      </c>
      <c r="F305">
        <v>1</v>
      </c>
    </row>
    <row r="306" spans="1:6" x14ac:dyDescent="0.25">
      <c r="A306">
        <v>3</v>
      </c>
      <c r="B306">
        <v>112</v>
      </c>
      <c r="C306" t="s">
        <v>154</v>
      </c>
      <c r="D306" t="s">
        <v>45</v>
      </c>
      <c r="E306" t="s">
        <v>155</v>
      </c>
      <c r="F306">
        <v>1</v>
      </c>
    </row>
    <row r="307" spans="1:6" x14ac:dyDescent="0.25">
      <c r="A307">
        <v>1</v>
      </c>
      <c r="B307">
        <v>113</v>
      </c>
      <c r="C307" t="s">
        <v>154</v>
      </c>
      <c r="D307" t="s">
        <v>20</v>
      </c>
      <c r="E307" t="s">
        <v>155</v>
      </c>
      <c r="F307">
        <v>1</v>
      </c>
    </row>
    <row r="308" spans="1:6" x14ac:dyDescent="0.25">
      <c r="A308">
        <v>2</v>
      </c>
      <c r="B308">
        <v>113</v>
      </c>
      <c r="C308" t="s">
        <v>154</v>
      </c>
      <c r="D308" t="s">
        <v>39</v>
      </c>
      <c r="E308" t="s">
        <v>155</v>
      </c>
      <c r="F308">
        <v>1</v>
      </c>
    </row>
    <row r="309" spans="1:6" x14ac:dyDescent="0.25">
      <c r="A309">
        <v>3</v>
      </c>
      <c r="B309">
        <v>113</v>
      </c>
      <c r="C309" t="s">
        <v>154</v>
      </c>
      <c r="D309" t="s">
        <v>96</v>
      </c>
      <c r="E309" t="s">
        <v>155</v>
      </c>
      <c r="F309">
        <v>1</v>
      </c>
    </row>
    <row r="310" spans="1:6" x14ac:dyDescent="0.25">
      <c r="A310">
        <v>1</v>
      </c>
      <c r="B310">
        <v>114</v>
      </c>
      <c r="C310" t="s">
        <v>154</v>
      </c>
      <c r="D310" t="s">
        <v>20</v>
      </c>
      <c r="E310" t="s">
        <v>155</v>
      </c>
      <c r="F310">
        <v>1</v>
      </c>
    </row>
    <row r="311" spans="1:6" x14ac:dyDescent="0.25">
      <c r="A311">
        <v>2</v>
      </c>
      <c r="B311">
        <v>114</v>
      </c>
      <c r="C311" t="s">
        <v>154</v>
      </c>
      <c r="D311" t="s">
        <v>96</v>
      </c>
      <c r="E311" t="s">
        <v>155</v>
      </c>
      <c r="F311">
        <v>1</v>
      </c>
    </row>
    <row r="312" spans="1:6" x14ac:dyDescent="0.25">
      <c r="A312">
        <v>3</v>
      </c>
      <c r="B312">
        <v>114</v>
      </c>
      <c r="C312" t="s">
        <v>154</v>
      </c>
      <c r="D312" t="s">
        <v>45</v>
      </c>
      <c r="E312" t="s">
        <v>155</v>
      </c>
      <c r="F312">
        <v>1</v>
      </c>
    </row>
    <row r="313" spans="1:6" x14ac:dyDescent="0.25">
      <c r="A313">
        <v>1</v>
      </c>
      <c r="B313">
        <v>115</v>
      </c>
      <c r="C313" t="s">
        <v>154</v>
      </c>
      <c r="D313" t="s">
        <v>20</v>
      </c>
      <c r="E313" t="s">
        <v>155</v>
      </c>
      <c r="F313">
        <v>1</v>
      </c>
    </row>
    <row r="314" spans="1:6" x14ac:dyDescent="0.25">
      <c r="A314">
        <v>2</v>
      </c>
      <c r="B314">
        <v>115</v>
      </c>
      <c r="C314" t="s">
        <v>154</v>
      </c>
      <c r="D314" t="s">
        <v>96</v>
      </c>
      <c r="E314" t="s">
        <v>155</v>
      </c>
      <c r="F314">
        <v>1</v>
      </c>
    </row>
    <row r="315" spans="1:6" x14ac:dyDescent="0.25">
      <c r="A315">
        <v>3</v>
      </c>
      <c r="B315">
        <v>115</v>
      </c>
      <c r="C315" t="s">
        <v>154</v>
      </c>
      <c r="D315" t="s">
        <v>45</v>
      </c>
      <c r="E315" t="s">
        <v>155</v>
      </c>
      <c r="F315">
        <v>1</v>
      </c>
    </row>
    <row r="316" spans="1:6" x14ac:dyDescent="0.25">
      <c r="A316">
        <v>4</v>
      </c>
      <c r="B316">
        <v>115</v>
      </c>
      <c r="C316" t="s">
        <v>154</v>
      </c>
      <c r="D316" t="s">
        <v>98</v>
      </c>
      <c r="E316" t="s">
        <v>155</v>
      </c>
      <c r="F316">
        <v>1</v>
      </c>
    </row>
    <row r="317" spans="1:6" x14ac:dyDescent="0.25">
      <c r="A317">
        <v>5</v>
      </c>
      <c r="B317">
        <v>115</v>
      </c>
      <c r="C317" t="s">
        <v>154</v>
      </c>
      <c r="D317" t="s">
        <v>97</v>
      </c>
      <c r="E317" t="s">
        <v>155</v>
      </c>
      <c r="F317">
        <v>1</v>
      </c>
    </row>
    <row r="318" spans="1:6" x14ac:dyDescent="0.25">
      <c r="A318">
        <v>1</v>
      </c>
      <c r="B318">
        <v>116</v>
      </c>
      <c r="C318" t="s">
        <v>154</v>
      </c>
      <c r="D318" t="s">
        <v>45</v>
      </c>
      <c r="E318" t="s">
        <v>155</v>
      </c>
      <c r="F318">
        <v>1</v>
      </c>
    </row>
    <row r="319" spans="1:6" x14ac:dyDescent="0.25">
      <c r="A319">
        <v>1</v>
      </c>
      <c r="B319">
        <v>117</v>
      </c>
      <c r="C319" t="s">
        <v>154</v>
      </c>
      <c r="D319" t="s">
        <v>45</v>
      </c>
      <c r="E319" t="s">
        <v>155</v>
      </c>
      <c r="F319">
        <v>1</v>
      </c>
    </row>
    <row r="320" spans="1:6" x14ac:dyDescent="0.25">
      <c r="A320">
        <v>2</v>
      </c>
      <c r="B320">
        <v>117</v>
      </c>
      <c r="C320" t="s">
        <v>154</v>
      </c>
      <c r="D320" t="s">
        <v>20</v>
      </c>
      <c r="E320" t="s">
        <v>155</v>
      </c>
      <c r="F320">
        <v>1</v>
      </c>
    </row>
    <row r="321" spans="1:6" x14ac:dyDescent="0.25">
      <c r="A321">
        <v>1</v>
      </c>
      <c r="B321">
        <v>118</v>
      </c>
      <c r="C321" t="s">
        <v>154</v>
      </c>
      <c r="D321" t="s">
        <v>45</v>
      </c>
      <c r="E321" t="s">
        <v>155</v>
      </c>
      <c r="F321">
        <v>1</v>
      </c>
    </row>
    <row r="322" spans="1:6" x14ac:dyDescent="0.25">
      <c r="A322">
        <v>2</v>
      </c>
      <c r="B322">
        <v>118</v>
      </c>
      <c r="C322" t="s">
        <v>154</v>
      </c>
      <c r="D322" t="s">
        <v>20</v>
      </c>
      <c r="E322" t="s">
        <v>155</v>
      </c>
      <c r="F322">
        <v>1</v>
      </c>
    </row>
    <row r="323" spans="1:6" x14ac:dyDescent="0.25">
      <c r="A323">
        <v>3</v>
      </c>
      <c r="B323">
        <v>118</v>
      </c>
      <c r="C323" t="s">
        <v>154</v>
      </c>
      <c r="D323" t="s">
        <v>96</v>
      </c>
      <c r="E323" t="s">
        <v>155</v>
      </c>
      <c r="F323">
        <v>1</v>
      </c>
    </row>
    <row r="324" spans="1:6" x14ac:dyDescent="0.25">
      <c r="A324">
        <v>4</v>
      </c>
      <c r="B324">
        <v>118</v>
      </c>
      <c r="C324" t="s">
        <v>154</v>
      </c>
      <c r="D324" t="s">
        <v>20</v>
      </c>
      <c r="E324" t="s">
        <v>155</v>
      </c>
      <c r="F324">
        <v>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9A9FF51DF7F40A2797E30E842AF22" ma:contentTypeVersion="18" ma:contentTypeDescription="Create a new document." ma:contentTypeScope="" ma:versionID="14cd91dac819157c91b1d14f281b7de0">
  <xsd:schema xmlns:xsd="http://www.w3.org/2001/XMLSchema" xmlns:xs="http://www.w3.org/2001/XMLSchema" xmlns:p="http://schemas.microsoft.com/office/2006/metadata/properties" xmlns:ns2="ef0ff67e-9087-4832-8b9d-0b53066cc775" xmlns:ns3="89e87ded-6359-4f8b-890f-4b93e2ce9d62" targetNamespace="http://schemas.microsoft.com/office/2006/metadata/properties" ma:root="true" ma:fieldsID="59d8e09582726c96a64897b0d147333a" ns2:_="" ns3:_="">
    <xsd:import namespace="ef0ff67e-9087-4832-8b9d-0b53066cc775"/>
    <xsd:import namespace="89e87ded-6359-4f8b-890f-4b93e2ce9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ff67e-9087-4832-8b9d-0b53066cc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ff3b9c-19f0-420d-a4cb-c70adf2f2c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87ded-6359-4f8b-890f-4b93e2ce9d6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b8a3ce-642d-4a39-a5da-f65dc8781456}" ma:internalName="TaxCatchAll" ma:showField="CatchAllData" ma:web="89e87ded-6359-4f8b-890f-4b93e2ce9d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0ff67e-9087-4832-8b9d-0b53066cc775">
      <Terms xmlns="http://schemas.microsoft.com/office/infopath/2007/PartnerControls"/>
    </lcf76f155ced4ddcb4097134ff3c332f>
    <TaxCatchAll xmlns="89e87ded-6359-4f8b-890f-4b93e2ce9d62" xsi:nil="true"/>
  </documentManagement>
</p:properties>
</file>

<file path=customXml/itemProps1.xml><?xml version="1.0" encoding="utf-8"?>
<ds:datastoreItem xmlns:ds="http://schemas.openxmlformats.org/officeDocument/2006/customXml" ds:itemID="{D1FDA4F6-8237-4AAA-84B8-AECFD54903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9886AA-45CB-43C9-9308-75A455367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0ff67e-9087-4832-8b9d-0b53066cc775"/>
    <ds:schemaRef ds:uri="89e87ded-6359-4f8b-890f-4b93e2ce9d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CAF3F0-A2CA-497B-8705-2777094C916D}">
  <ds:schemaRefs>
    <ds:schemaRef ds:uri="http://schemas.microsoft.com/office/2006/metadata/properties"/>
    <ds:schemaRef ds:uri="http://schemas.microsoft.com/office/infopath/2007/PartnerControls"/>
    <ds:schemaRef ds:uri="ef0ff67e-9087-4832-8b9d-0b53066cc775"/>
    <ds:schemaRef ds:uri="89e87ded-6359-4f8b-890f-4b93e2ce9d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Network</vt:lpstr>
      <vt:lpstr>Make</vt:lpstr>
      <vt:lpstr>Store</vt:lpstr>
      <vt:lpstr>Move</vt:lpstr>
      <vt:lpstr>Deliver</vt:lpstr>
      <vt:lpstr>Berths</vt:lpstr>
      <vt:lpstr>Ship_Routes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Zephien Prinsloo</dc:creator>
  <cp:lastModifiedBy>Zephien Prinsloo</cp:lastModifiedBy>
  <dcterms:created xsi:type="dcterms:W3CDTF">2025-12-08T02:01:44Z</dcterms:created>
  <dcterms:modified xsi:type="dcterms:W3CDTF">2025-12-11T04:11:51Z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0x010100E219A9FF51DF7F40A2797E30E842AF22</vt:lpwstr>
  </property>
  <property fmtid="{D5CDD505-2E9C-101B-9397-08002B2CF9AE}" pid="3" name="MediaServiceImageTags">
    <vt:lpwstr/>
  </property>
</Properties>
</file>