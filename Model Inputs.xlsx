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969" documentId="11_7702EEA085167BEC471CB38504FABC4A36F5DBF3" xr6:coauthVersionLast="47" xr6:coauthVersionMax="47" xr10:uidLastSave="{A16261E6-5C7B-44D8-8456-5FFC60772E8E}"/>
  <bookViews>
    <workbookView xWindow="-120" yWindow="-120" windowWidth="29040" windowHeight="15720" activeTab="1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Berths" sheetId="8" r:id="rId7"/>
    <sheet name="Ship_Routes" sheetId="7" r:id="rId8"/>
  </sheets>
  <definedNames>
    <definedName name="_xlnm._FilterDatabase" localSheetId="5" hidden="1">Deliver!$A$1:$D$23</definedName>
    <definedName name="_xlnm._FilterDatabase" localSheetId="1" hidden="1">Network!$B$1:$K$109</definedName>
    <definedName name="_xlnm._FilterDatabase" localSheetId="3" hidden="1">Store!$A$1:$F$35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2" l="1"/>
  <c r="C16" i="6" l="1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7" i="2" s="1" a="1"/>
  <c r="A7" i="2" s="1"/>
  <c r="A8" i="2" s="1" a="1"/>
  <c r="A8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9" i="2" l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10" i="2" a="1"/>
  <c r="A10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2" i="2" l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15" i="2" a="1"/>
  <c r="A15" i="2" s="1"/>
  <c r="A49" i="2" a="1"/>
  <c r="A49" i="2" s="1"/>
  <c r="A50" i="2" a="1"/>
  <c r="A50" i="2" s="1"/>
  <c r="A25" i="2" l="1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<sst xmlns="http://schemas.openxmlformats.org/spreadsheetml/2006/main" count="2394" uniqueCount="210">
  <si>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</si>
  <si>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</si>
  <si>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</si>
  <si>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</si>
  <si>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</si>
  <si>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</si>
  <si>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</si>
  <si>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</si>
  <si>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</si>
  <si>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</si>
  <si>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</si>
  <si>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</si>
  <si>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</si>
  <si>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</si>
  <si>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</si>
  <si>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</si>
  <si>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</si>
  <si>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</si>
  <si>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</si>
  <si>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</si>
  <si>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</si>
  <si>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</si>
  <si>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</si>
  <si>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</si>
  <si>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</si>
  <si>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</si>
  <si>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</si>
  <si>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</si>
  <si>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</si>
  <si>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</si>
  <si>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</si>
  <si>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</si>
  <si>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</si>
  <si>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</si>
  <si>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</si>
  <si>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</si>
  <si>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</si>
  <si>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</si>
  <si>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</si>
  <si>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</si>
  <si>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</si>
  <si>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</si>
  <si>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</si>
  <si>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</si>
  <si>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</si>
  <si>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</si>
  <si>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</si>
  <si>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</si>
  <si>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</si>
  <si>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</si>
  <si>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</si>
  <si>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</si>
  <si>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</si>
  <si>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</si>
  <si>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</si>
  <si>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</si>
  <si>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</si>
  <si>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</si>
  <si>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</si>
  <si>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</si>
  <si>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</si>
  <si>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</si>
  <si>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</si>
  <si>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</si>
  <si>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</si>
  <si>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</si>
  <si>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</si>
  <si>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</si>
  <si>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</si>
  <si>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</si>
  <si>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</si>
  <si>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</si>
  <si>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</si>
  <si>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</si>
  <si>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</si>
  <si>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</si>
  <si>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</si>
  <si>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</si>
  <si>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</si>
  <si>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</si>
  <si>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Stops</t>
  </si>
  <si>
    <t>Vessel ID</t>
  </si>
  <si>
    <t>Goliath</t>
  </si>
  <si>
    <t>Route ID</t>
  </si>
  <si>
    <t>Port</t>
  </si>
  <si>
    <t>Vessel</t>
  </si>
  <si>
    <t>Trip Count</t>
  </si>
  <si>
    <t>V1</t>
  </si>
  <si>
    <t>Ac Kathryn</t>
  </si>
  <si>
    <t>V2</t>
  </si>
  <si>
    <t>Adelie</t>
  </si>
  <si>
    <t>V3</t>
  </si>
  <si>
    <t>African Stork</t>
  </si>
  <si>
    <t>V4</t>
  </si>
  <si>
    <t>Akuna</t>
  </si>
  <si>
    <t>Sydney</t>
  </si>
  <si>
    <t>Osborne</t>
  </si>
  <si>
    <t>Devonport</t>
  </si>
  <si>
    <t>V5</t>
  </si>
  <si>
    <t>Atilla</t>
  </si>
  <si>
    <t>V6</t>
  </si>
  <si>
    <t>Basic Brave</t>
  </si>
  <si>
    <t>V7</t>
  </si>
  <si>
    <t>Clipper Triumph</t>
  </si>
  <si>
    <t>V8</t>
  </si>
  <si>
    <t>Coresky Ol</t>
  </si>
  <si>
    <t>V9</t>
  </si>
  <si>
    <t>Csl Reliance</t>
  </si>
  <si>
    <t>V10</t>
  </si>
  <si>
    <t>Csl Tbn</t>
  </si>
  <si>
    <t>V11</t>
  </si>
  <si>
    <t>Elanora</t>
  </si>
  <si>
    <t>V12</t>
  </si>
  <si>
    <t>Elenora</t>
  </si>
  <si>
    <t>V13</t>
  </si>
  <si>
    <t>Fortune Hero</t>
  </si>
  <si>
    <t>V14</t>
  </si>
  <si>
    <t>V15</t>
  </si>
  <si>
    <t>Ivs Ibis</t>
  </si>
  <si>
    <t>V16</t>
  </si>
  <si>
    <t>Ken Breeze</t>
  </si>
  <si>
    <t>V17</t>
  </si>
  <si>
    <t>Kondili</t>
  </si>
  <si>
    <t>V18</t>
  </si>
  <si>
    <t>La Briantais</t>
  </si>
  <si>
    <t>V19</t>
  </si>
  <si>
    <t>La Chamb</t>
  </si>
  <si>
    <t>V20</t>
  </si>
  <si>
    <t>La Landriais</t>
  </si>
  <si>
    <t>V21</t>
  </si>
  <si>
    <t>Luchow</t>
  </si>
  <si>
    <t>V22</t>
  </si>
  <si>
    <t>Luga</t>
  </si>
  <si>
    <t>V23</t>
  </si>
  <si>
    <t>Mareeba</t>
  </si>
  <si>
    <t>V24</t>
  </si>
  <si>
    <t>Martin Island</t>
  </si>
  <si>
    <t>V25</t>
  </si>
  <si>
    <t>Ocean Ibis</t>
  </si>
  <si>
    <t>V26</t>
  </si>
  <si>
    <t>Olivia</t>
  </si>
  <si>
    <t>V27</t>
  </si>
  <si>
    <t>Relcsl</t>
  </si>
  <si>
    <t>V28</t>
  </si>
  <si>
    <t>Seastar Enedavour</t>
  </si>
  <si>
    <t>V29</t>
  </si>
  <si>
    <t>Seastar Venture</t>
  </si>
  <si>
    <t>V30</t>
  </si>
  <si>
    <t>Tawaki</t>
  </si>
  <si>
    <t>V31</t>
  </si>
  <si>
    <t>Tbn</t>
  </si>
  <si>
    <t>V32</t>
  </si>
  <si>
    <t>V Monoceros</t>
  </si>
  <si>
    <t>V33</t>
  </si>
  <si>
    <t>Wyuna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</si>
  <si>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</si>
  <si>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</si>
  <si>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</si>
  <si>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</si>
  <si>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</si>
  <si>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</si>
  <si>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</si>
  <si>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</si>
  <si>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</si>
  <si>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</si>
  <si>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</si>
  <si>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</si>
  <si>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</si>
  <si>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</si>
  <si>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</si>
  <si>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</si>
  <si>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</si>
  <si>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</si>
  <si>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</si>
  <si>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</si>
  <si>
    <t>Silo S&amp;T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</si>
  <si>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</si>
  <si>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</si>
  <si>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</si>
  <si>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</si>
  <si>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Silo Q</t>
  </si>
  <si>
    <t>Notes</t>
  </si>
  <si>
    <t>Demand per Location/Hour</t>
  </si>
  <si>
    <t>Berth</t>
  </si>
  <si>
    <t># Berths</t>
  </si>
  <si>
    <t>South</t>
  </si>
  <si>
    <t># Parcels</t>
  </si>
  <si>
    <t xml:space="preserve">Vessel Count </t>
  </si>
  <si>
    <t>Origin</t>
  </si>
  <si>
    <t>Product Class 1</t>
  </si>
  <si>
    <t>Product Class 2</t>
  </si>
  <si>
    <t>Product Class 3</t>
  </si>
  <si>
    <t>-</t>
  </si>
  <si>
    <t>Dest 1</t>
  </si>
  <si>
    <t>Dest 2</t>
  </si>
  <si>
    <t>Dest 3</t>
  </si>
  <si>
    <t>Region</t>
  </si>
  <si>
    <t>Voyage ID</t>
  </si>
  <si>
    <t>Voyage Region</t>
  </si>
  <si>
    <t>North</t>
  </si>
  <si>
    <t>Hold Size (GP)</t>
  </si>
  <si>
    <t>unload rate 700t/h, Multi Cell Silo (6 Cells)</t>
  </si>
  <si>
    <t>TBD - Model Output?? 45kt between GP and FA</t>
  </si>
  <si>
    <t>load only 500t/h, Cement/SG, Double Check</t>
  </si>
  <si>
    <t>#Equipment 
(99-unlimited)</t>
  </si>
  <si>
    <t>Probability 
Berth Occupied (%)</t>
  </si>
  <si>
    <t>FA_SUPPLY</t>
  </si>
  <si>
    <t>10,20,50,100</t>
  </si>
  <si>
    <t>Unconstrained supply for this model, can load 350t/h</t>
  </si>
  <si>
    <t>FA_EXPSILO_STORE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</si>
</sst>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4" fillId="0" borderId="1" xfId="0" applyFont="1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0" fontId="4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6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T109"/>
  <sheetViews>
    <sheetView tabSelected="1" zoomScale="115" zoomScaleNormal="115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D43" sqref="D43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7.85546875" bestFit="1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hidden="1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hidden="1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5" t="s">
        <v>177</v>
      </c>
    </row>
    <row r="4" spans="1:19" hidden="1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hidden="1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hidden="1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hidden="1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hidden="1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hidden="1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hidden="1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hidden="1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hidden="1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hidden="1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hidden="1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hidden="1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hidden="1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hidden="1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178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178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179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179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179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178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97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hidden="1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97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97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hidden="1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97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hidden="1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97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hidden="1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97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hidden="1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47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47</v>
      </c>
      <c r="J33" t="s">
        <v>29</v>
      </c>
      <c r="K33">
        <v>2</v>
      </c>
      <c r="L33" t="s">
        <v>27</v>
      </c>
      <c r="M33" t="str">
        <f t="shared" si="0"/>
        <v>ImportStoreCL_STORECL</v>
      </c>
      <c r="N33" t="str">
        <f t="shared" si="1"/>
        <v>ImportMoveSHIPCL</v>
      </c>
      <c r="O33">
        <f t="shared" si="2"/>
        <v>2</v>
      </c>
      <c r="P33" t="str">
        <f t="shared" si="3"/>
        <v>ImportStoreCL</v>
      </c>
    </row>
    <row r="34" spans="1:16" hidden="1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47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48</v>
      </c>
      <c r="K34">
        <v>3</v>
      </c>
      <c r="M34" t="str">
        <f t="shared" ref="M34:M67" si="4">C34&amp;F34&amp;D34&amp;E34</f>
        <v>ImportMoveSHIPCL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ImportMoveCL</v>
      </c>
    </row>
    <row r="35" spans="1:16" hidden="1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47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48</v>
      </c>
      <c r="K35">
        <v>3</v>
      </c>
      <c r="M35" t="str">
        <f t="shared" si="4"/>
        <v>ImportMoveSHIPCL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ImportMoveCL</v>
      </c>
    </row>
    <row r="36" spans="1:16" hidden="1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49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hidden="1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50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hidden="1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48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49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hidden="1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48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50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hidden="1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49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hidden="1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50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hidden="1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hidden="1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hidden="1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48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51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hidden="1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51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hidden="1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hidden="1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hidden="1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52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hidden="1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53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hidden="1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54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hidden="1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hidden="1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hidden="1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hidden="1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hidden="1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hidden="1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hidden="1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hidden="1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hidden="1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hidden="1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hidden="1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hidden="1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53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53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hidden="1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53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hidden="1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52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52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hidden="1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52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hidden="1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54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54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hidden="1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54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hidden="1" x14ac:dyDescent="0.25">
      <c r="A68" s="1">
        <v>1</v>
      </c>
      <c r="B68" t="s">
        <v>55</v>
      </c>
      <c r="C68" t="s">
        <v>20</v>
      </c>
      <c r="D68" t="s">
        <v>206</v>
      </c>
      <c r="F68" t="s">
        <v>23</v>
      </c>
      <c r="G68" t="s">
        <v>55</v>
      </c>
      <c r="H68" t="s">
        <v>25</v>
      </c>
      <c r="I68" t="s">
        <v>20</v>
      </c>
      <c r="J68" t="s">
        <v>209</v>
      </c>
      <c r="K68">
        <v>1</v>
      </c>
      <c r="P68" t="str">
        <f t="shared" si="7"/>
        <v>GladstoneMakeFA</v>
      </c>
    </row>
    <row r="69" spans="1:16" hidden="1" x14ac:dyDescent="0.25">
      <c r="A69" s="1">
        <v>2</v>
      </c>
      <c r="B69" t="s">
        <v>55</v>
      </c>
      <c r="C69" t="s">
        <v>20</v>
      </c>
      <c r="D69" t="s">
        <v>209</v>
      </c>
      <c r="E69" t="s">
        <v>55</v>
      </c>
      <c r="F69" t="s">
        <v>25</v>
      </c>
      <c r="G69" t="s">
        <v>55</v>
      </c>
      <c r="H69" t="s">
        <v>28</v>
      </c>
      <c r="I69" t="s">
        <v>20</v>
      </c>
      <c r="J69" t="s">
        <v>29</v>
      </c>
      <c r="K69">
        <v>2</v>
      </c>
    </row>
    <row r="70" spans="1:16" hidden="1" x14ac:dyDescent="0.25">
      <c r="A70" s="1">
        <v>3</v>
      </c>
      <c r="B70" t="s">
        <v>55</v>
      </c>
      <c r="C70" t="s">
        <v>20</v>
      </c>
      <c r="D70" t="s">
        <v>29</v>
      </c>
      <c r="E70" t="s">
        <v>55</v>
      </c>
      <c r="F70" t="s">
        <v>28</v>
      </c>
      <c r="G70" t="s">
        <v>55</v>
      </c>
      <c r="H70" t="s">
        <v>25</v>
      </c>
      <c r="I70" t="s">
        <v>45</v>
      </c>
      <c r="J70" t="s">
        <v>56</v>
      </c>
      <c r="K70">
        <v>3</v>
      </c>
    </row>
    <row r="71" spans="1:16" hidden="1" x14ac:dyDescent="0.25">
      <c r="A71" s="1">
        <v>3</v>
      </c>
      <c r="B71" t="s">
        <v>55</v>
      </c>
      <c r="C71" t="s">
        <v>20</v>
      </c>
      <c r="D71" t="s">
        <v>29</v>
      </c>
      <c r="E71" t="s">
        <v>55</v>
      </c>
      <c r="F71" t="s">
        <v>28</v>
      </c>
      <c r="G71" t="s">
        <v>55</v>
      </c>
      <c r="H71" t="s">
        <v>25</v>
      </c>
      <c r="I71" t="s">
        <v>38</v>
      </c>
      <c r="J71" t="s">
        <v>56</v>
      </c>
      <c r="K71">
        <v>3</v>
      </c>
    </row>
    <row r="72" spans="1:16" hidden="1" x14ac:dyDescent="0.25">
      <c r="A72" s="1">
        <v>3</v>
      </c>
      <c r="B72" t="s">
        <v>55</v>
      </c>
      <c r="C72" t="s">
        <v>20</v>
      </c>
      <c r="D72" t="s">
        <v>29</v>
      </c>
      <c r="E72" t="s">
        <v>55</v>
      </c>
      <c r="F72" t="s">
        <v>28</v>
      </c>
      <c r="G72" t="s">
        <v>55</v>
      </c>
      <c r="H72" t="s">
        <v>25</v>
      </c>
      <c r="I72" t="s">
        <v>46</v>
      </c>
      <c r="J72" t="s">
        <v>56</v>
      </c>
      <c r="K72">
        <v>3</v>
      </c>
    </row>
    <row r="73" spans="1:16" hidden="1" x14ac:dyDescent="0.25">
      <c r="A73" s="1">
        <v>1</v>
      </c>
      <c r="B73" t="s">
        <v>55</v>
      </c>
      <c r="C73" t="s">
        <v>45</v>
      </c>
      <c r="D73" t="s">
        <v>56</v>
      </c>
      <c r="E73" t="s">
        <v>55</v>
      </c>
      <c r="F73" t="s">
        <v>25</v>
      </c>
      <c r="G73" t="s">
        <v>55</v>
      </c>
      <c r="H73" t="s">
        <v>35</v>
      </c>
      <c r="I73" t="s">
        <v>45</v>
      </c>
      <c r="J73" t="s">
        <v>36</v>
      </c>
      <c r="K73">
        <v>2</v>
      </c>
    </row>
    <row r="74" spans="1:16" hidden="1" x14ac:dyDescent="0.25">
      <c r="A74" s="1">
        <v>1</v>
      </c>
      <c r="B74" t="s">
        <v>55</v>
      </c>
      <c r="C74" t="s">
        <v>38</v>
      </c>
      <c r="D74" t="s">
        <v>56</v>
      </c>
      <c r="E74" t="s">
        <v>55</v>
      </c>
      <c r="F74" t="s">
        <v>25</v>
      </c>
      <c r="G74" t="s">
        <v>55</v>
      </c>
      <c r="H74" t="s">
        <v>35</v>
      </c>
      <c r="I74" t="s">
        <v>38</v>
      </c>
      <c r="J74" t="s">
        <v>36</v>
      </c>
      <c r="K74">
        <v>2</v>
      </c>
    </row>
    <row r="75" spans="1:16" hidden="1" x14ac:dyDescent="0.25">
      <c r="A75" s="1">
        <v>1</v>
      </c>
      <c r="B75" t="s">
        <v>55</v>
      </c>
      <c r="C75" t="s">
        <v>46</v>
      </c>
      <c r="D75" t="s">
        <v>56</v>
      </c>
      <c r="E75" t="s">
        <v>55</v>
      </c>
      <c r="F75" t="s">
        <v>25</v>
      </c>
      <c r="G75" t="s">
        <v>55</v>
      </c>
      <c r="H75" t="s">
        <v>35</v>
      </c>
      <c r="I75" t="s">
        <v>46</v>
      </c>
      <c r="J75" t="s">
        <v>36</v>
      </c>
      <c r="K75">
        <v>2</v>
      </c>
    </row>
    <row r="76" spans="1:16" hidden="1" x14ac:dyDescent="0.25">
      <c r="A76" s="1">
        <v>2</v>
      </c>
      <c r="B76" t="s">
        <v>55</v>
      </c>
      <c r="C76" t="s">
        <v>45</v>
      </c>
      <c r="D76" t="s">
        <v>36</v>
      </c>
      <c r="E76" t="s">
        <v>55</v>
      </c>
      <c r="F76" t="s">
        <v>35</v>
      </c>
      <c r="G76" t="s">
        <v>55</v>
      </c>
      <c r="K76">
        <v>4</v>
      </c>
    </row>
    <row r="77" spans="1:16" hidden="1" x14ac:dyDescent="0.25">
      <c r="A77" s="1">
        <v>2</v>
      </c>
      <c r="B77" t="s">
        <v>55</v>
      </c>
      <c r="C77" t="s">
        <v>38</v>
      </c>
      <c r="D77" t="s">
        <v>36</v>
      </c>
      <c r="E77" t="s">
        <v>55</v>
      </c>
      <c r="F77" t="s">
        <v>35</v>
      </c>
      <c r="G77" t="s">
        <v>55</v>
      </c>
      <c r="K77">
        <v>4</v>
      </c>
    </row>
    <row r="78" spans="1:16" hidden="1" x14ac:dyDescent="0.25">
      <c r="A78" s="1">
        <v>2</v>
      </c>
      <c r="B78" t="s">
        <v>55</v>
      </c>
      <c r="C78" t="s">
        <v>46</v>
      </c>
      <c r="D78" t="s">
        <v>36</v>
      </c>
      <c r="E78" t="s">
        <v>55</v>
      </c>
      <c r="F78" t="s">
        <v>35</v>
      </c>
      <c r="G78" t="s">
        <v>55</v>
      </c>
      <c r="K78">
        <v>4</v>
      </c>
    </row>
    <row r="79" spans="1:16" hidden="1" x14ac:dyDescent="0.25">
      <c r="A79" s="1">
        <v>1</v>
      </c>
      <c r="B79" t="s">
        <v>74</v>
      </c>
      <c r="C79" t="s">
        <v>47</v>
      </c>
      <c r="D79" t="s">
        <v>75</v>
      </c>
      <c r="E79" t="s">
        <v>76</v>
      </c>
      <c r="F79" t="s">
        <v>25</v>
      </c>
      <c r="G79" t="s">
        <v>76</v>
      </c>
      <c r="H79" t="s">
        <v>28</v>
      </c>
      <c r="I79" t="s">
        <v>47</v>
      </c>
      <c r="J79" t="s">
        <v>29</v>
      </c>
      <c r="K79">
        <v>2</v>
      </c>
    </row>
    <row r="80" spans="1:16" hidden="1" x14ac:dyDescent="0.25">
      <c r="A80" s="1">
        <v>2</v>
      </c>
      <c r="B80" t="s">
        <v>74</v>
      </c>
      <c r="C80" t="s">
        <v>47</v>
      </c>
      <c r="D80" t="s">
        <v>29</v>
      </c>
      <c r="E80" t="s">
        <v>76</v>
      </c>
      <c r="F80" t="s">
        <v>28</v>
      </c>
      <c r="G80" t="s">
        <v>76</v>
      </c>
      <c r="H80" t="s">
        <v>25</v>
      </c>
      <c r="I80" t="s">
        <v>38</v>
      </c>
      <c r="J80" t="s">
        <v>75</v>
      </c>
      <c r="K80">
        <v>3</v>
      </c>
    </row>
    <row r="81" spans="1:11" hidden="1" x14ac:dyDescent="0.25">
      <c r="A81" s="1">
        <v>2</v>
      </c>
      <c r="B81" t="s">
        <v>74</v>
      </c>
      <c r="C81" t="s">
        <v>47</v>
      </c>
      <c r="D81" t="s">
        <v>29</v>
      </c>
      <c r="E81" t="s">
        <v>76</v>
      </c>
      <c r="F81" t="s">
        <v>28</v>
      </c>
      <c r="G81" t="s">
        <v>76</v>
      </c>
      <c r="H81" t="s">
        <v>25</v>
      </c>
      <c r="I81" t="s">
        <v>30</v>
      </c>
      <c r="J81" t="s">
        <v>75</v>
      </c>
      <c r="K81">
        <v>3</v>
      </c>
    </row>
    <row r="82" spans="1:11" hidden="1" x14ac:dyDescent="0.25">
      <c r="A82" s="1">
        <v>1</v>
      </c>
      <c r="B82" t="s">
        <v>74</v>
      </c>
      <c r="C82" t="s">
        <v>38</v>
      </c>
      <c r="D82" t="s">
        <v>75</v>
      </c>
      <c r="E82" t="s">
        <v>76</v>
      </c>
      <c r="F82" t="s">
        <v>25</v>
      </c>
      <c r="G82" t="s">
        <v>76</v>
      </c>
      <c r="H82" t="s">
        <v>23</v>
      </c>
      <c r="I82" t="s">
        <v>38</v>
      </c>
      <c r="J82" t="s">
        <v>51</v>
      </c>
      <c r="K82">
        <v>2</v>
      </c>
    </row>
    <row r="83" spans="1:11" hidden="1" x14ac:dyDescent="0.25">
      <c r="A83" s="1">
        <v>2</v>
      </c>
      <c r="B83" t="s">
        <v>74</v>
      </c>
      <c r="C83" t="s">
        <v>38</v>
      </c>
      <c r="D83" t="s">
        <v>51</v>
      </c>
      <c r="E83" t="s">
        <v>76</v>
      </c>
      <c r="F83" t="s">
        <v>23</v>
      </c>
      <c r="G83" t="s">
        <v>74</v>
      </c>
      <c r="H83" t="s">
        <v>25</v>
      </c>
      <c r="I83" t="s">
        <v>38</v>
      </c>
      <c r="J83" t="s">
        <v>77</v>
      </c>
      <c r="K83">
        <v>1</v>
      </c>
    </row>
    <row r="84" spans="1:11" hidden="1" x14ac:dyDescent="0.25">
      <c r="A84" s="1">
        <v>3</v>
      </c>
      <c r="B84" t="s">
        <v>74</v>
      </c>
      <c r="C84" t="s">
        <v>38</v>
      </c>
      <c r="D84" t="s">
        <v>77</v>
      </c>
      <c r="E84" t="s">
        <v>74</v>
      </c>
      <c r="F84" t="s">
        <v>25</v>
      </c>
      <c r="G84" t="s">
        <v>74</v>
      </c>
      <c r="H84" t="s">
        <v>35</v>
      </c>
      <c r="I84" t="s">
        <v>38</v>
      </c>
      <c r="J84" t="s">
        <v>36</v>
      </c>
      <c r="K84">
        <v>2</v>
      </c>
    </row>
    <row r="85" spans="1:11" hidden="1" x14ac:dyDescent="0.25">
      <c r="A85" s="1">
        <v>4</v>
      </c>
      <c r="B85" t="s">
        <v>74</v>
      </c>
      <c r="C85" t="s">
        <v>38</v>
      </c>
      <c r="D85" t="s">
        <v>36</v>
      </c>
      <c r="E85" t="s">
        <v>74</v>
      </c>
      <c r="F85" t="s">
        <v>35</v>
      </c>
      <c r="G85" t="s">
        <v>74</v>
      </c>
      <c r="K85">
        <v>4</v>
      </c>
    </row>
    <row r="86" spans="1:11" hidden="1" x14ac:dyDescent="0.25">
      <c r="A86" s="1">
        <v>3</v>
      </c>
      <c r="B86" t="s">
        <v>74</v>
      </c>
      <c r="C86" t="s">
        <v>38</v>
      </c>
      <c r="D86" t="s">
        <v>77</v>
      </c>
      <c r="E86" t="s">
        <v>74</v>
      </c>
      <c r="F86" t="s">
        <v>25</v>
      </c>
      <c r="G86" t="s">
        <v>74</v>
      </c>
      <c r="H86" t="s">
        <v>28</v>
      </c>
      <c r="I86" t="s">
        <v>38</v>
      </c>
      <c r="J86" t="s">
        <v>29</v>
      </c>
      <c r="K86">
        <v>2</v>
      </c>
    </row>
    <row r="87" spans="1:11" hidden="1" x14ac:dyDescent="0.25">
      <c r="A87" s="1">
        <v>3</v>
      </c>
      <c r="B87" t="s">
        <v>74</v>
      </c>
      <c r="C87" t="s">
        <v>38</v>
      </c>
      <c r="D87" t="s">
        <v>77</v>
      </c>
      <c r="E87" t="s">
        <v>74</v>
      </c>
      <c r="F87" t="s">
        <v>25</v>
      </c>
      <c r="G87" t="s">
        <v>74</v>
      </c>
      <c r="H87" t="s">
        <v>28</v>
      </c>
      <c r="I87" t="s">
        <v>38</v>
      </c>
      <c r="J87" t="s">
        <v>34</v>
      </c>
      <c r="K87">
        <v>2</v>
      </c>
    </row>
    <row r="88" spans="1:11" hidden="1" x14ac:dyDescent="0.25">
      <c r="A88" s="1">
        <v>4</v>
      </c>
      <c r="B88" t="s">
        <v>74</v>
      </c>
      <c r="C88" t="s">
        <v>38</v>
      </c>
      <c r="D88" t="s">
        <v>29</v>
      </c>
      <c r="E88" t="s">
        <v>74</v>
      </c>
      <c r="F88" t="s">
        <v>28</v>
      </c>
      <c r="G88" t="s">
        <v>74</v>
      </c>
      <c r="H88" t="s">
        <v>25</v>
      </c>
      <c r="I88" t="s">
        <v>45</v>
      </c>
      <c r="J88" t="s">
        <v>77</v>
      </c>
      <c r="K88">
        <v>3</v>
      </c>
    </row>
    <row r="89" spans="1:11" hidden="1" x14ac:dyDescent="0.25">
      <c r="A89" s="1">
        <v>4</v>
      </c>
      <c r="B89" t="s">
        <v>74</v>
      </c>
      <c r="C89" t="s">
        <v>38</v>
      </c>
      <c r="D89" t="s">
        <v>34</v>
      </c>
      <c r="E89" t="s">
        <v>74</v>
      </c>
      <c r="F89" t="s">
        <v>28</v>
      </c>
      <c r="G89" t="s">
        <v>74</v>
      </c>
      <c r="H89" t="s">
        <v>25</v>
      </c>
      <c r="I89" t="s">
        <v>54</v>
      </c>
      <c r="J89" t="s">
        <v>77</v>
      </c>
      <c r="K89">
        <v>3</v>
      </c>
    </row>
    <row r="90" spans="1:11" hidden="1" x14ac:dyDescent="0.25">
      <c r="A90" s="1">
        <v>4</v>
      </c>
      <c r="B90" t="s">
        <v>74</v>
      </c>
      <c r="C90" t="s">
        <v>38</v>
      </c>
      <c r="D90" t="s">
        <v>34</v>
      </c>
      <c r="E90" t="s">
        <v>74</v>
      </c>
      <c r="F90" t="s">
        <v>28</v>
      </c>
      <c r="G90" t="s">
        <v>74</v>
      </c>
      <c r="H90" t="s">
        <v>25</v>
      </c>
      <c r="I90" t="s">
        <v>79</v>
      </c>
      <c r="J90" t="s">
        <v>77</v>
      </c>
      <c r="K90">
        <v>3</v>
      </c>
    </row>
    <row r="91" spans="1:11" hidden="1" x14ac:dyDescent="0.25">
      <c r="A91" s="1">
        <v>4</v>
      </c>
      <c r="B91" t="s">
        <v>74</v>
      </c>
      <c r="C91" t="s">
        <v>38</v>
      </c>
      <c r="D91" t="s">
        <v>34</v>
      </c>
      <c r="E91" t="s">
        <v>74</v>
      </c>
      <c r="F91" t="s">
        <v>28</v>
      </c>
      <c r="G91" t="s">
        <v>74</v>
      </c>
      <c r="H91" t="s">
        <v>25</v>
      </c>
      <c r="I91" t="s">
        <v>39</v>
      </c>
      <c r="J91" t="s">
        <v>77</v>
      </c>
      <c r="K91">
        <v>3</v>
      </c>
    </row>
    <row r="92" spans="1:11" hidden="1" x14ac:dyDescent="0.25">
      <c r="A92" s="1">
        <v>1</v>
      </c>
      <c r="B92" t="s">
        <v>74</v>
      </c>
      <c r="C92" t="s">
        <v>30</v>
      </c>
      <c r="D92" t="s">
        <v>75</v>
      </c>
      <c r="E92" t="s">
        <v>76</v>
      </c>
      <c r="F92" t="s">
        <v>25</v>
      </c>
      <c r="G92" t="s">
        <v>76</v>
      </c>
      <c r="H92" t="s">
        <v>23</v>
      </c>
      <c r="I92" t="s">
        <v>30</v>
      </c>
      <c r="J92" t="s">
        <v>49</v>
      </c>
      <c r="K92">
        <v>2</v>
      </c>
    </row>
    <row r="93" spans="1:11" hidden="1" x14ac:dyDescent="0.25">
      <c r="A93" s="1">
        <v>1</v>
      </c>
      <c r="B93" t="s">
        <v>74</v>
      </c>
      <c r="C93" t="s">
        <v>30</v>
      </c>
      <c r="D93" t="s">
        <v>75</v>
      </c>
      <c r="E93" t="s">
        <v>76</v>
      </c>
      <c r="F93" t="s">
        <v>25</v>
      </c>
      <c r="G93" t="s">
        <v>76</v>
      </c>
      <c r="H93" t="s">
        <v>23</v>
      </c>
      <c r="I93" t="s">
        <v>30</v>
      </c>
      <c r="J93" t="s">
        <v>50</v>
      </c>
      <c r="K93">
        <v>2</v>
      </c>
    </row>
    <row r="94" spans="1:11" hidden="1" x14ac:dyDescent="0.25">
      <c r="A94" s="1">
        <v>2</v>
      </c>
      <c r="B94" t="s">
        <v>74</v>
      </c>
      <c r="C94" t="s">
        <v>30</v>
      </c>
      <c r="D94" t="s">
        <v>49</v>
      </c>
      <c r="E94" t="s">
        <v>76</v>
      </c>
      <c r="F94" t="s">
        <v>23</v>
      </c>
      <c r="G94" t="s">
        <v>74</v>
      </c>
      <c r="H94" t="s">
        <v>25</v>
      </c>
      <c r="I94" t="s">
        <v>30</v>
      </c>
      <c r="J94" t="s">
        <v>77</v>
      </c>
      <c r="K94">
        <v>1</v>
      </c>
    </row>
    <row r="95" spans="1:11" hidden="1" x14ac:dyDescent="0.25">
      <c r="A95" s="1">
        <v>2</v>
      </c>
      <c r="B95" t="s">
        <v>74</v>
      </c>
      <c r="C95" t="s">
        <v>30</v>
      </c>
      <c r="D95" t="s">
        <v>50</v>
      </c>
      <c r="E95" t="s">
        <v>76</v>
      </c>
      <c r="F95" t="s">
        <v>23</v>
      </c>
      <c r="G95" t="s">
        <v>74</v>
      </c>
      <c r="H95" t="s">
        <v>25</v>
      </c>
      <c r="I95" t="s">
        <v>30</v>
      </c>
      <c r="J95" t="s">
        <v>77</v>
      </c>
      <c r="K95">
        <v>1</v>
      </c>
    </row>
    <row r="96" spans="1:11" hidden="1" x14ac:dyDescent="0.25">
      <c r="A96" s="1">
        <v>3</v>
      </c>
      <c r="B96" t="s">
        <v>74</v>
      </c>
      <c r="C96" t="s">
        <v>30</v>
      </c>
      <c r="D96" t="s">
        <v>77</v>
      </c>
      <c r="E96" t="s">
        <v>74</v>
      </c>
      <c r="F96" t="s">
        <v>25</v>
      </c>
      <c r="G96" t="s">
        <v>74</v>
      </c>
      <c r="H96" t="s">
        <v>28</v>
      </c>
      <c r="I96" t="s">
        <v>30</v>
      </c>
      <c r="J96" t="s">
        <v>34</v>
      </c>
      <c r="K96">
        <v>2</v>
      </c>
    </row>
    <row r="97" spans="1:11" hidden="1" x14ac:dyDescent="0.25">
      <c r="A97" s="1">
        <v>3</v>
      </c>
      <c r="B97" t="s">
        <v>74</v>
      </c>
      <c r="C97" t="s">
        <v>30</v>
      </c>
      <c r="D97" t="s">
        <v>77</v>
      </c>
      <c r="E97" t="s">
        <v>74</v>
      </c>
      <c r="F97" t="s">
        <v>25</v>
      </c>
      <c r="G97" t="s">
        <v>74</v>
      </c>
      <c r="H97" t="s">
        <v>35</v>
      </c>
      <c r="I97" t="s">
        <v>30</v>
      </c>
      <c r="J97" t="s">
        <v>36</v>
      </c>
      <c r="K97">
        <v>2</v>
      </c>
    </row>
    <row r="98" spans="1:11" hidden="1" x14ac:dyDescent="0.25">
      <c r="A98" s="1">
        <v>4</v>
      </c>
      <c r="B98" t="s">
        <v>74</v>
      </c>
      <c r="C98" t="s">
        <v>30</v>
      </c>
      <c r="D98" t="s">
        <v>34</v>
      </c>
      <c r="E98" t="s">
        <v>74</v>
      </c>
      <c r="F98" t="s">
        <v>28</v>
      </c>
      <c r="G98" t="s">
        <v>74</v>
      </c>
      <c r="H98" t="s">
        <v>25</v>
      </c>
      <c r="I98" t="s">
        <v>78</v>
      </c>
      <c r="J98" t="s">
        <v>77</v>
      </c>
      <c r="K98">
        <v>3</v>
      </c>
    </row>
    <row r="99" spans="1:11" hidden="1" x14ac:dyDescent="0.25">
      <c r="A99" s="1">
        <v>4</v>
      </c>
      <c r="B99" t="s">
        <v>74</v>
      </c>
      <c r="C99" t="s">
        <v>30</v>
      </c>
      <c r="D99" t="s">
        <v>36</v>
      </c>
      <c r="E99" t="s">
        <v>74</v>
      </c>
      <c r="F99" t="s">
        <v>35</v>
      </c>
      <c r="G99" t="s">
        <v>74</v>
      </c>
      <c r="K99">
        <v>4</v>
      </c>
    </row>
    <row r="100" spans="1:11" hidden="1" x14ac:dyDescent="0.25">
      <c r="A100" s="1">
        <v>1</v>
      </c>
      <c r="B100" t="s">
        <v>74</v>
      </c>
      <c r="C100" t="s">
        <v>78</v>
      </c>
      <c r="D100" t="s">
        <v>77</v>
      </c>
      <c r="E100" t="s">
        <v>74</v>
      </c>
      <c r="F100" t="s">
        <v>25</v>
      </c>
      <c r="G100" t="s">
        <v>74</v>
      </c>
      <c r="H100" t="s">
        <v>35</v>
      </c>
      <c r="I100" t="s">
        <v>78</v>
      </c>
      <c r="J100" t="s">
        <v>36</v>
      </c>
      <c r="K100">
        <v>2</v>
      </c>
    </row>
    <row r="101" spans="1:11" hidden="1" x14ac:dyDescent="0.25">
      <c r="A101" s="1">
        <v>2</v>
      </c>
      <c r="B101" t="s">
        <v>74</v>
      </c>
      <c r="C101" t="s">
        <v>78</v>
      </c>
      <c r="D101" t="s">
        <v>36</v>
      </c>
      <c r="E101" t="s">
        <v>74</v>
      </c>
      <c r="F101" t="s">
        <v>35</v>
      </c>
      <c r="G101" t="s">
        <v>74</v>
      </c>
      <c r="K101">
        <v>4</v>
      </c>
    </row>
    <row r="102" spans="1:11" hidden="1" x14ac:dyDescent="0.25">
      <c r="A102" s="1">
        <v>1</v>
      </c>
      <c r="B102" t="s">
        <v>74</v>
      </c>
      <c r="C102" t="s">
        <v>45</v>
      </c>
      <c r="D102" t="s">
        <v>77</v>
      </c>
      <c r="E102" t="s">
        <v>74</v>
      </c>
      <c r="F102" t="s">
        <v>25</v>
      </c>
      <c r="G102" t="s">
        <v>74</v>
      </c>
      <c r="H102" t="s">
        <v>35</v>
      </c>
      <c r="I102" t="s">
        <v>45</v>
      </c>
      <c r="J102" t="s">
        <v>36</v>
      </c>
      <c r="K102">
        <v>3</v>
      </c>
    </row>
    <row r="103" spans="1:11" hidden="1" x14ac:dyDescent="0.25">
      <c r="A103" s="1">
        <v>2</v>
      </c>
      <c r="B103" t="s">
        <v>74</v>
      </c>
      <c r="C103" t="s">
        <v>45</v>
      </c>
      <c r="D103" t="s">
        <v>36</v>
      </c>
      <c r="E103" t="s">
        <v>74</v>
      </c>
      <c r="F103" t="s">
        <v>35</v>
      </c>
      <c r="G103" t="s">
        <v>74</v>
      </c>
      <c r="K103">
        <v>4</v>
      </c>
    </row>
    <row r="104" spans="1:11" hidden="1" x14ac:dyDescent="0.25">
      <c r="A104" s="1">
        <v>1</v>
      </c>
      <c r="B104" t="s">
        <v>74</v>
      </c>
      <c r="C104" t="s">
        <v>54</v>
      </c>
      <c r="D104" t="s">
        <v>77</v>
      </c>
      <c r="E104" t="s">
        <v>74</v>
      </c>
      <c r="F104" t="s">
        <v>25</v>
      </c>
      <c r="G104" t="s">
        <v>74</v>
      </c>
      <c r="H104" t="s">
        <v>35</v>
      </c>
      <c r="I104" t="s">
        <v>54</v>
      </c>
      <c r="J104" t="s">
        <v>36</v>
      </c>
      <c r="K104">
        <v>3</v>
      </c>
    </row>
    <row r="105" spans="1:11" hidden="1" x14ac:dyDescent="0.25">
      <c r="A105" s="1">
        <v>2</v>
      </c>
      <c r="B105" t="s">
        <v>74</v>
      </c>
      <c r="C105" t="s">
        <v>54</v>
      </c>
      <c r="D105" t="s">
        <v>36</v>
      </c>
      <c r="E105" t="s">
        <v>74</v>
      </c>
      <c r="F105" t="s">
        <v>35</v>
      </c>
      <c r="G105" t="s">
        <v>74</v>
      </c>
      <c r="K105">
        <v>4</v>
      </c>
    </row>
    <row r="106" spans="1:11" hidden="1" x14ac:dyDescent="0.25">
      <c r="A106" s="1">
        <v>1</v>
      </c>
      <c r="B106" t="s">
        <v>74</v>
      </c>
      <c r="C106" t="s">
        <v>79</v>
      </c>
      <c r="D106" t="s">
        <v>77</v>
      </c>
      <c r="E106" t="s">
        <v>74</v>
      </c>
      <c r="F106" t="s">
        <v>25</v>
      </c>
      <c r="G106" t="s">
        <v>74</v>
      </c>
      <c r="H106" t="s">
        <v>35</v>
      </c>
      <c r="I106" t="s">
        <v>79</v>
      </c>
      <c r="J106" t="s">
        <v>36</v>
      </c>
      <c r="K106">
        <v>3</v>
      </c>
    </row>
    <row r="107" spans="1:11" hidden="1" x14ac:dyDescent="0.25">
      <c r="A107" s="1">
        <v>2</v>
      </c>
      <c r="B107" t="s">
        <v>74</v>
      </c>
      <c r="C107" t="s">
        <v>79</v>
      </c>
      <c r="D107" t="s">
        <v>36</v>
      </c>
      <c r="E107" t="s">
        <v>74</v>
      </c>
      <c r="F107" t="s">
        <v>35</v>
      </c>
      <c r="G107" t="s">
        <v>74</v>
      </c>
      <c r="K107">
        <v>4</v>
      </c>
    </row>
    <row r="108" spans="1:11" hidden="1" x14ac:dyDescent="0.25">
      <c r="A108" s="1">
        <v>1</v>
      </c>
      <c r="B108" t="s">
        <v>74</v>
      </c>
      <c r="C108" t="s">
        <v>39</v>
      </c>
      <c r="D108" t="s">
        <v>77</v>
      </c>
      <c r="E108" t="s">
        <v>74</v>
      </c>
      <c r="F108" t="s">
        <v>25</v>
      </c>
      <c r="G108" t="s">
        <v>74</v>
      </c>
      <c r="H108" t="s">
        <v>35</v>
      </c>
      <c r="I108" t="s">
        <v>39</v>
      </c>
      <c r="J108" t="s">
        <v>36</v>
      </c>
      <c r="K108">
        <v>3</v>
      </c>
    </row>
    <row r="109" spans="1:11" hidden="1" x14ac:dyDescent="0.25">
      <c r="A109" s="1">
        <v>2</v>
      </c>
      <c r="B109" t="s">
        <v>74</v>
      </c>
      <c r="C109" t="s">
        <v>39</v>
      </c>
      <c r="D109" t="s">
        <v>36</v>
      </c>
      <c r="E109" t="s">
        <v>74</v>
      </c>
      <c r="F109" t="s">
        <v>35</v>
      </c>
      <c r="G109" t="s">
        <v>74</v>
      </c>
      <c r="K109">
        <v>4</v>
      </c>
    </row>
  </sheetData>
  <autoFilter ref="B1:K109" xr:uid="{00000000-0009-0000-0000-000001000000}">
    <filterColumn colId="1">
      <filters>
        <filter val="Railton"/>
      </filters>
    </filterColumn>
  </autoFilter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I9" sqref="I9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7" t="s">
        <v>57</v>
      </c>
      <c r="F1" s="7" t="s">
        <v>58</v>
      </c>
      <c r="G1" s="7" t="s">
        <v>59</v>
      </c>
      <c r="H1" s="7" t="s">
        <v>60</v>
      </c>
      <c r="I1" s="7" t="s">
        <v>61</v>
      </c>
    </row>
    <row r="2" spans="1:9" x14ac:dyDescent="0.25">
      <c r="A2" t="s">
        <v>30</v>
      </c>
      <c r="B2" t="s">
        <v>49</v>
      </c>
      <c r="C2" t="s">
        <v>24</v>
      </c>
      <c r="D2" t="s">
        <v>19</v>
      </c>
      <c r="E2">
        <v>50</v>
      </c>
      <c r="F2">
        <v>10</v>
      </c>
      <c r="G2" t="s">
        <v>62</v>
      </c>
      <c r="H2" s="16">
        <v>3.3000000000000002E-2</v>
      </c>
      <c r="I2" s="16">
        <v>0.88</v>
      </c>
    </row>
    <row r="3" spans="1:9" x14ac:dyDescent="0.25">
      <c r="A3" t="s">
        <v>30</v>
      </c>
      <c r="B3" t="s">
        <v>49</v>
      </c>
      <c r="C3" t="s">
        <v>76</v>
      </c>
      <c r="D3" t="s">
        <v>74</v>
      </c>
      <c r="E3">
        <v>30</v>
      </c>
      <c r="F3">
        <v>10</v>
      </c>
      <c r="G3" t="s">
        <v>62</v>
      </c>
      <c r="H3" s="16">
        <v>3.3000000000000002E-2</v>
      </c>
      <c r="I3" s="16">
        <v>1</v>
      </c>
    </row>
    <row r="4" spans="1:9" x14ac:dyDescent="0.25">
      <c r="A4" t="s">
        <v>30</v>
      </c>
      <c r="B4" t="s">
        <v>50</v>
      </c>
      <c r="C4" t="s">
        <v>24</v>
      </c>
      <c r="D4" t="s">
        <v>19</v>
      </c>
      <c r="E4">
        <v>88</v>
      </c>
      <c r="F4">
        <v>10</v>
      </c>
      <c r="G4" t="s">
        <v>63</v>
      </c>
      <c r="H4" s="16">
        <v>3.7999999999999999E-2</v>
      </c>
      <c r="I4" s="16">
        <v>0.88</v>
      </c>
    </row>
    <row r="5" spans="1:9" x14ac:dyDescent="0.25">
      <c r="A5" t="s">
        <v>30</v>
      </c>
      <c r="B5" t="s">
        <v>50</v>
      </c>
      <c r="C5" t="s">
        <v>76</v>
      </c>
      <c r="D5" t="s">
        <v>74</v>
      </c>
      <c r="E5">
        <v>60</v>
      </c>
      <c r="F5">
        <v>10</v>
      </c>
      <c r="G5" t="s">
        <v>63</v>
      </c>
      <c r="H5" s="16">
        <v>3.7999999999999999E-2</v>
      </c>
      <c r="I5" s="16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64</v>
      </c>
      <c r="H6" s="16">
        <v>0.1646</v>
      </c>
      <c r="I6" s="16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65</v>
      </c>
      <c r="H7" s="16">
        <v>0.13189999999999999</v>
      </c>
      <c r="I7" s="16">
        <v>0.88</v>
      </c>
    </row>
    <row r="8" spans="1:9" x14ac:dyDescent="0.25">
      <c r="A8" t="s">
        <v>20</v>
      </c>
      <c r="B8" t="s">
        <v>206</v>
      </c>
      <c r="D8" t="s">
        <v>55</v>
      </c>
      <c r="E8">
        <v>120</v>
      </c>
      <c r="F8">
        <v>10</v>
      </c>
      <c r="G8" t="s">
        <v>207</v>
      </c>
      <c r="H8" s="16">
        <v>0.2</v>
      </c>
      <c r="I8" s="16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66</v>
      </c>
      <c r="H9" s="16">
        <v>7.4499999999999997E-2</v>
      </c>
      <c r="I9" s="16">
        <v>1</v>
      </c>
    </row>
    <row r="10" spans="1:9" x14ac:dyDescent="0.25">
      <c r="A10" t="s">
        <v>38</v>
      </c>
      <c r="B10" t="s">
        <v>51</v>
      </c>
      <c r="C10" t="s">
        <v>24</v>
      </c>
      <c r="D10" t="s">
        <v>19</v>
      </c>
      <c r="E10">
        <v>205</v>
      </c>
      <c r="F10">
        <v>10</v>
      </c>
      <c r="G10" t="s">
        <v>67</v>
      </c>
      <c r="H10" s="16">
        <v>0.05</v>
      </c>
      <c r="I10" s="16">
        <v>0.88</v>
      </c>
    </row>
    <row r="11" spans="1:9" x14ac:dyDescent="0.25">
      <c r="A11" t="s">
        <v>38</v>
      </c>
      <c r="B11" t="s">
        <v>51</v>
      </c>
      <c r="C11" t="s">
        <v>76</v>
      </c>
      <c r="D11" t="s">
        <v>74</v>
      </c>
      <c r="E11">
        <v>180</v>
      </c>
      <c r="F11">
        <v>10</v>
      </c>
      <c r="G11" t="s">
        <v>67</v>
      </c>
      <c r="H11" s="16">
        <v>0.05</v>
      </c>
      <c r="I11" s="16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68</v>
      </c>
      <c r="H12" s="16">
        <v>5.2999999999999999E-2</v>
      </c>
      <c r="I12" s="16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69</v>
      </c>
      <c r="H13" s="16">
        <v>0.1101</v>
      </c>
      <c r="I13" s="16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70</v>
      </c>
      <c r="H14" s="16">
        <v>2.98E-2</v>
      </c>
      <c r="I14" s="1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"/>
  <sheetViews>
    <sheetView topLeftCell="A3" zoomScale="130" zoomScaleNormal="130" workbookViewId="0">
      <selection activeCell="A15" sqref="A15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6" width="15.7109375" customWidth="1"/>
    <col min="7" max="7" width="10.5703125" bestFit="1" customWidth="1"/>
    <col min="8" max="8" width="4" bestFit="1" customWidth="1"/>
  </cols>
  <sheetData>
    <row r="1" spans="1:9" ht="30" x14ac:dyDescent="0.25">
      <c r="A1" s="2" t="s">
        <v>8</v>
      </c>
      <c r="B1" s="7" t="s">
        <v>9</v>
      </c>
      <c r="C1" s="7" t="s">
        <v>10</v>
      </c>
      <c r="D1" s="7" t="s">
        <v>71</v>
      </c>
      <c r="E1" s="7" t="s">
        <v>72</v>
      </c>
      <c r="F1" s="7" t="s">
        <v>73</v>
      </c>
      <c r="G1" s="3"/>
      <c r="I1" s="8" t="s">
        <v>181</v>
      </c>
    </row>
    <row r="2" spans="1:9" x14ac:dyDescent="0.25">
      <c r="A2" t="s">
        <v>52</v>
      </c>
      <c r="B2" t="s">
        <v>33</v>
      </c>
      <c r="C2" t="s">
        <v>19</v>
      </c>
      <c r="D2" s="3">
        <v>99999</v>
      </c>
      <c r="E2" s="3">
        <v>1000</v>
      </c>
      <c r="F2" s="3">
        <v>500</v>
      </c>
      <c r="G2" s="3"/>
      <c r="H2" t="s">
        <v>158</v>
      </c>
      <c r="I2" t="s">
        <v>159</v>
      </c>
    </row>
    <row r="3" spans="1:9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/>
      <c r="H3" t="s">
        <v>27</v>
      </c>
      <c r="I3" t="s">
        <v>160</v>
      </c>
    </row>
    <row r="4" spans="1:9" x14ac:dyDescent="0.25">
      <c r="A4" t="s">
        <v>30</v>
      </c>
      <c r="B4" t="s">
        <v>48</v>
      </c>
      <c r="C4" t="s">
        <v>24</v>
      </c>
      <c r="D4" s="3">
        <v>30000</v>
      </c>
      <c r="E4" s="3">
        <v>30000</v>
      </c>
      <c r="F4" s="3">
        <v>10000</v>
      </c>
      <c r="G4" s="3"/>
      <c r="H4" t="s">
        <v>27</v>
      </c>
      <c r="I4" t="s">
        <v>160</v>
      </c>
    </row>
    <row r="5" spans="1:9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/>
      <c r="H5" t="s">
        <v>27</v>
      </c>
      <c r="I5" t="s">
        <v>161</v>
      </c>
    </row>
    <row r="6" spans="1:9" x14ac:dyDescent="0.25">
      <c r="A6" t="s">
        <v>30</v>
      </c>
      <c r="B6" t="s">
        <v>75</v>
      </c>
      <c r="C6" t="s">
        <v>76</v>
      </c>
      <c r="D6" s="3">
        <v>50000</v>
      </c>
      <c r="E6" s="3">
        <v>50000</v>
      </c>
      <c r="F6" s="3">
        <v>3000</v>
      </c>
      <c r="G6" s="3"/>
      <c r="H6" t="s">
        <v>27</v>
      </c>
      <c r="I6" t="s">
        <v>162</v>
      </c>
    </row>
    <row r="7" spans="1:9" x14ac:dyDescent="0.25">
      <c r="A7" t="s">
        <v>30</v>
      </c>
      <c r="B7" t="s">
        <v>77</v>
      </c>
      <c r="C7" t="s">
        <v>74</v>
      </c>
      <c r="D7" s="3">
        <v>10000</v>
      </c>
      <c r="E7" s="3">
        <v>10000</v>
      </c>
      <c r="F7" s="3">
        <v>5000</v>
      </c>
      <c r="G7" s="3"/>
      <c r="H7" t="s">
        <v>27</v>
      </c>
      <c r="I7" t="s">
        <v>163</v>
      </c>
    </row>
    <row r="8" spans="1:9" x14ac:dyDescent="0.25">
      <c r="A8" t="s">
        <v>79</v>
      </c>
      <c r="B8" t="s">
        <v>77</v>
      </c>
      <c r="C8" t="s">
        <v>74</v>
      </c>
      <c r="D8" s="3">
        <v>99999</v>
      </c>
      <c r="E8" s="3">
        <v>1000</v>
      </c>
      <c r="F8" s="3">
        <v>500</v>
      </c>
      <c r="G8" s="3"/>
      <c r="H8" t="s">
        <v>158</v>
      </c>
      <c r="I8" t="s">
        <v>159</v>
      </c>
    </row>
    <row r="9" spans="1:9" x14ac:dyDescent="0.25">
      <c r="A9" t="s">
        <v>54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/>
      <c r="H9" t="s">
        <v>158</v>
      </c>
      <c r="I9" t="s">
        <v>159</v>
      </c>
    </row>
    <row r="10" spans="1:9" x14ac:dyDescent="0.25">
      <c r="A10" t="s">
        <v>54</v>
      </c>
      <c r="B10" t="s">
        <v>77</v>
      </c>
      <c r="C10" t="s">
        <v>74</v>
      </c>
      <c r="D10" s="3">
        <v>3000</v>
      </c>
      <c r="E10" s="3">
        <v>1000</v>
      </c>
      <c r="F10" s="3">
        <v>500</v>
      </c>
      <c r="G10" s="3"/>
      <c r="H10" t="s">
        <v>158</v>
      </c>
      <c r="I10" t="s">
        <v>159</v>
      </c>
    </row>
    <row r="11" spans="1:9" x14ac:dyDescent="0.25">
      <c r="A11" t="s">
        <v>97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/>
      <c r="H11" t="s">
        <v>27</v>
      </c>
      <c r="I11" t="s">
        <v>176</v>
      </c>
    </row>
    <row r="12" spans="1:9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/>
      <c r="H12" t="s">
        <v>27</v>
      </c>
      <c r="I12" t="s">
        <v>156</v>
      </c>
    </row>
    <row r="13" spans="1:9" x14ac:dyDescent="0.25">
      <c r="A13" t="s">
        <v>20</v>
      </c>
      <c r="B13" t="s">
        <v>209</v>
      </c>
      <c r="C13" t="s">
        <v>55</v>
      </c>
      <c r="D13" s="3">
        <v>14000</v>
      </c>
      <c r="E13" s="3">
        <v>12000</v>
      </c>
      <c r="F13" s="3">
        <v>2000</v>
      </c>
      <c r="G13" s="3"/>
      <c r="H13" t="s">
        <v>27</v>
      </c>
      <c r="I13" t="s">
        <v>208</v>
      </c>
    </row>
    <row r="14" spans="1:9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/>
      <c r="H14" t="s">
        <v>27</v>
      </c>
      <c r="I14" t="s">
        <v>157</v>
      </c>
    </row>
    <row r="15" spans="1:9" x14ac:dyDescent="0.25">
      <c r="A15" t="s">
        <v>47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/>
      <c r="H15" t="s">
        <v>27</v>
      </c>
      <c r="I15" t="s">
        <v>164</v>
      </c>
    </row>
    <row r="16" spans="1:9" x14ac:dyDescent="0.25">
      <c r="A16" t="s">
        <v>47</v>
      </c>
      <c r="B16" t="s">
        <v>75</v>
      </c>
      <c r="C16" t="s">
        <v>76</v>
      </c>
      <c r="D16" s="3">
        <v>999999</v>
      </c>
      <c r="E16" s="3">
        <v>999999</v>
      </c>
      <c r="F16" s="3">
        <v>999999</v>
      </c>
      <c r="G16" s="3"/>
      <c r="H16" t="s">
        <v>27</v>
      </c>
      <c r="I16" t="s">
        <v>164</v>
      </c>
    </row>
    <row r="17" spans="1:9" x14ac:dyDescent="0.25">
      <c r="A17" t="s">
        <v>45</v>
      </c>
      <c r="B17" t="s">
        <v>56</v>
      </c>
      <c r="C17" t="s">
        <v>55</v>
      </c>
      <c r="D17" s="3">
        <v>15000</v>
      </c>
      <c r="E17" s="3">
        <v>10000</v>
      </c>
      <c r="F17" s="3">
        <v>1000</v>
      </c>
      <c r="G17" s="3"/>
      <c r="H17" t="s">
        <v>158</v>
      </c>
      <c r="I17" t="s">
        <v>165</v>
      </c>
    </row>
    <row r="18" spans="1:9" x14ac:dyDescent="0.25">
      <c r="A18" t="s">
        <v>40</v>
      </c>
      <c r="B18" t="s">
        <v>33</v>
      </c>
      <c r="C18" t="s">
        <v>19</v>
      </c>
      <c r="D18" s="3">
        <v>99999</v>
      </c>
      <c r="E18" s="3">
        <v>50000</v>
      </c>
      <c r="F18" s="3">
        <v>20000</v>
      </c>
      <c r="G18" s="3"/>
    </row>
    <row r="19" spans="1:9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/>
      <c r="H19" t="s">
        <v>27</v>
      </c>
      <c r="I19" t="s">
        <v>165</v>
      </c>
    </row>
    <row r="20" spans="1:9" x14ac:dyDescent="0.25">
      <c r="A20" t="s">
        <v>45</v>
      </c>
      <c r="B20" t="s">
        <v>77</v>
      </c>
      <c r="C20" t="s">
        <v>74</v>
      </c>
      <c r="D20" s="3">
        <v>25000</v>
      </c>
      <c r="E20" s="3">
        <v>20000</v>
      </c>
      <c r="F20" s="3">
        <v>5000</v>
      </c>
      <c r="G20" s="3"/>
      <c r="H20" t="s">
        <v>27</v>
      </c>
      <c r="I20" t="s">
        <v>167</v>
      </c>
    </row>
    <row r="21" spans="1:9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/>
      <c r="H21" t="s">
        <v>27</v>
      </c>
      <c r="I21" t="s">
        <v>165</v>
      </c>
    </row>
    <row r="22" spans="1:9" x14ac:dyDescent="0.25">
      <c r="A22" t="s">
        <v>39</v>
      </c>
      <c r="B22" t="s">
        <v>77</v>
      </c>
      <c r="C22" t="s">
        <v>74</v>
      </c>
      <c r="D22" s="3">
        <v>3000</v>
      </c>
      <c r="E22" s="3">
        <v>3000</v>
      </c>
      <c r="F22" s="3">
        <v>1500</v>
      </c>
      <c r="G22" s="3"/>
      <c r="H22" t="s">
        <v>27</v>
      </c>
      <c r="I22" t="s">
        <v>201</v>
      </c>
    </row>
    <row r="23" spans="1:9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/>
      <c r="H23" t="s">
        <v>27</v>
      </c>
      <c r="I23" t="s">
        <v>166</v>
      </c>
    </row>
    <row r="24" spans="1:9" x14ac:dyDescent="0.25">
      <c r="A24" t="s">
        <v>46</v>
      </c>
      <c r="B24" t="s">
        <v>56</v>
      </c>
      <c r="C24" t="s">
        <v>55</v>
      </c>
      <c r="D24" s="3">
        <v>7500</v>
      </c>
      <c r="E24" s="3">
        <v>6000</v>
      </c>
      <c r="F24" s="3">
        <v>1000</v>
      </c>
      <c r="G24" s="3"/>
      <c r="H24" t="s">
        <v>27</v>
      </c>
      <c r="I24" t="s">
        <v>166</v>
      </c>
    </row>
    <row r="25" spans="1:9" x14ac:dyDescent="0.25">
      <c r="A25" t="s">
        <v>38</v>
      </c>
      <c r="B25" t="s">
        <v>48</v>
      </c>
      <c r="C25" t="s">
        <v>24</v>
      </c>
      <c r="D25" s="3">
        <v>86000</v>
      </c>
      <c r="E25" s="3">
        <v>50000</v>
      </c>
      <c r="F25" s="3">
        <v>25000</v>
      </c>
      <c r="G25" s="3"/>
      <c r="H25" t="s">
        <v>27</v>
      </c>
      <c r="I25" t="s">
        <v>162</v>
      </c>
    </row>
    <row r="26" spans="1:9" x14ac:dyDescent="0.25">
      <c r="A26" t="s">
        <v>38</v>
      </c>
      <c r="B26" t="s">
        <v>56</v>
      </c>
      <c r="C26" t="s">
        <v>55</v>
      </c>
      <c r="D26" s="15">
        <v>15000</v>
      </c>
      <c r="E26" s="3">
        <v>8000</v>
      </c>
      <c r="F26" s="3">
        <v>4000</v>
      </c>
      <c r="G26" s="3"/>
      <c r="H26" t="s">
        <v>27</v>
      </c>
      <c r="I26" t="s">
        <v>202</v>
      </c>
    </row>
    <row r="27" spans="1:9" x14ac:dyDescent="0.25">
      <c r="A27" t="s">
        <v>38</v>
      </c>
      <c r="B27" t="s">
        <v>75</v>
      </c>
      <c r="C27" t="s">
        <v>76</v>
      </c>
      <c r="D27" s="15">
        <v>50000</v>
      </c>
      <c r="E27" s="3">
        <v>50000</v>
      </c>
      <c r="F27" s="3">
        <v>10000</v>
      </c>
      <c r="G27" s="3"/>
      <c r="H27" t="s">
        <v>27</v>
      </c>
    </row>
    <row r="28" spans="1:9" x14ac:dyDescent="0.25">
      <c r="A28" t="s">
        <v>38</v>
      </c>
      <c r="B28" t="s">
        <v>33</v>
      </c>
      <c r="C28" t="s">
        <v>19</v>
      </c>
      <c r="D28" s="15">
        <v>30000</v>
      </c>
      <c r="E28" s="3">
        <v>10000</v>
      </c>
      <c r="F28" s="3">
        <v>5000</v>
      </c>
      <c r="G28" s="3"/>
      <c r="H28" t="s">
        <v>27</v>
      </c>
      <c r="I28" t="s">
        <v>202</v>
      </c>
    </row>
    <row r="29" spans="1:9" x14ac:dyDescent="0.25">
      <c r="A29" t="s">
        <v>38</v>
      </c>
      <c r="B29" t="s">
        <v>77</v>
      </c>
      <c r="C29" t="s">
        <v>74</v>
      </c>
      <c r="D29" s="3">
        <v>20000</v>
      </c>
      <c r="E29" s="3">
        <v>10000</v>
      </c>
      <c r="F29" s="3">
        <v>5000</v>
      </c>
      <c r="G29" s="3"/>
      <c r="H29" t="s">
        <v>27</v>
      </c>
      <c r="I29" t="s">
        <v>203</v>
      </c>
    </row>
    <row r="30" spans="1:9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/>
      <c r="H30" t="s">
        <v>27</v>
      </c>
    </row>
    <row r="31" spans="1:9" x14ac:dyDescent="0.25">
      <c r="A31" t="s">
        <v>41</v>
      </c>
      <c r="B31" t="s">
        <v>178</v>
      </c>
      <c r="C31" t="s">
        <v>19</v>
      </c>
      <c r="D31" s="3">
        <v>3600</v>
      </c>
      <c r="E31" s="3">
        <v>3000</v>
      </c>
      <c r="F31" s="3">
        <v>500</v>
      </c>
      <c r="G31" s="3"/>
      <c r="H31" t="s">
        <v>27</v>
      </c>
      <c r="I31" t="s">
        <v>175</v>
      </c>
    </row>
    <row r="32" spans="1:9" x14ac:dyDescent="0.25">
      <c r="A32" t="s">
        <v>41</v>
      </c>
      <c r="B32" t="s">
        <v>179</v>
      </c>
      <c r="C32" t="s">
        <v>19</v>
      </c>
      <c r="D32" s="3">
        <v>1500</v>
      </c>
      <c r="E32" s="3">
        <v>1000</v>
      </c>
      <c r="F32" s="3">
        <v>500</v>
      </c>
      <c r="G32" s="3"/>
      <c r="H32" t="s">
        <v>27</v>
      </c>
      <c r="I32" t="s">
        <v>180</v>
      </c>
    </row>
    <row r="33" spans="1:9" x14ac:dyDescent="0.25">
      <c r="A33" t="s">
        <v>78</v>
      </c>
      <c r="B33" t="s">
        <v>77</v>
      </c>
      <c r="C33" t="s">
        <v>74</v>
      </c>
      <c r="D33" s="3">
        <v>99999</v>
      </c>
      <c r="E33" s="3">
        <v>1000</v>
      </c>
      <c r="F33" s="3">
        <v>500</v>
      </c>
      <c r="G33" s="3"/>
      <c r="H33" t="s">
        <v>158</v>
      </c>
      <c r="I33" t="s">
        <v>159</v>
      </c>
    </row>
    <row r="34" spans="1:9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/>
      <c r="H34" t="s">
        <v>27</v>
      </c>
      <c r="I34" t="s">
        <v>165</v>
      </c>
    </row>
    <row r="35" spans="1:9" x14ac:dyDescent="0.25">
      <c r="A35" t="s">
        <v>53</v>
      </c>
      <c r="B35" t="s">
        <v>33</v>
      </c>
      <c r="C35" t="s">
        <v>19</v>
      </c>
      <c r="D35" s="3">
        <v>99999</v>
      </c>
      <c r="E35" s="3">
        <v>1000</v>
      </c>
      <c r="F35" s="3">
        <v>500</v>
      </c>
      <c r="G35" s="3"/>
      <c r="H35" t="s">
        <v>158</v>
      </c>
      <c r="I35" t="s">
        <v>159</v>
      </c>
    </row>
  </sheetData>
  <autoFilter ref="A1:F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="145" zoomScaleNormal="145" workbookViewId="0">
      <selection activeCell="D22" sqref="D22"/>
    </sheetView>
  </sheetViews>
  <sheetFormatPr defaultRowHeight="15" x14ac:dyDescent="0.25"/>
  <cols>
    <col min="1" max="1" width="7.85546875" bestFit="1" customWidth="1"/>
    <col min="2" max="2" width="13.140625" bestFit="1" customWidth="1"/>
    <col min="3" max="3" width="12.7109375" customWidth="1"/>
    <col min="4" max="4" width="13.28515625" bestFit="1" customWidth="1"/>
    <col min="5" max="5" width="14" bestFit="1" customWidth="1"/>
    <col min="6" max="6" width="8.28515625" bestFit="1" customWidth="1"/>
    <col min="7" max="7" width="11.85546875" bestFit="1" customWidth="1"/>
    <col min="8" max="8" width="9.5703125" bestFit="1" customWidth="1"/>
    <col min="9" max="9" width="13.7109375" bestFit="1" customWidth="1"/>
    <col min="10" max="10" width="11.85546875" bestFit="1" customWidth="1"/>
    <col min="11" max="11" width="15.85546875" bestFit="1" customWidth="1"/>
  </cols>
  <sheetData>
    <row r="1" spans="1:11" ht="30" x14ac:dyDescent="0.25">
      <c r="A1" s="4" t="s">
        <v>168</v>
      </c>
      <c r="B1" s="4" t="s">
        <v>8</v>
      </c>
      <c r="C1" s="10" t="s">
        <v>9</v>
      </c>
      <c r="D1" s="4" t="s">
        <v>14</v>
      </c>
      <c r="E1" s="10" t="s">
        <v>204</v>
      </c>
      <c r="F1" s="10" t="s">
        <v>169</v>
      </c>
      <c r="G1" s="10" t="s">
        <v>170</v>
      </c>
      <c r="H1" s="10" t="s">
        <v>171</v>
      </c>
      <c r="I1" s="10" t="s">
        <v>172</v>
      </c>
      <c r="J1" s="10" t="s">
        <v>173</v>
      </c>
      <c r="K1" s="10" t="s">
        <v>174</v>
      </c>
    </row>
    <row r="2" spans="1:11" x14ac:dyDescent="0.25">
      <c r="A2" t="s">
        <v>24</v>
      </c>
      <c r="B2" t="s">
        <v>20</v>
      </c>
      <c r="C2" t="s">
        <v>29</v>
      </c>
      <c r="D2" t="s">
        <v>30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24</v>
      </c>
      <c r="B3" t="s">
        <v>47</v>
      </c>
      <c r="C3" t="s">
        <v>29</v>
      </c>
      <c r="D3" t="s">
        <v>30</v>
      </c>
      <c r="E3">
        <v>1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24</v>
      </c>
      <c r="B4" t="s">
        <v>47</v>
      </c>
      <c r="C4" t="s">
        <v>29</v>
      </c>
      <c r="D4" t="s">
        <v>38</v>
      </c>
      <c r="E4">
        <v>1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55</v>
      </c>
      <c r="B5" t="s">
        <v>20</v>
      </c>
      <c r="C5" t="s">
        <v>29</v>
      </c>
      <c r="D5" t="s">
        <v>45</v>
      </c>
      <c r="E5">
        <v>99</v>
      </c>
      <c r="F5">
        <v>5</v>
      </c>
      <c r="G5">
        <v>5000</v>
      </c>
      <c r="H5">
        <v>350</v>
      </c>
      <c r="I5">
        <v>5000</v>
      </c>
      <c r="J5">
        <v>400</v>
      </c>
      <c r="K5">
        <v>6000</v>
      </c>
    </row>
    <row r="6" spans="1:11" x14ac:dyDescent="0.25">
      <c r="A6" t="s">
        <v>55</v>
      </c>
      <c r="B6" t="s">
        <v>20</v>
      </c>
      <c r="C6" t="s">
        <v>29</v>
      </c>
      <c r="D6" t="s">
        <v>38</v>
      </c>
      <c r="E6">
        <v>99</v>
      </c>
      <c r="F6">
        <v>5</v>
      </c>
      <c r="G6">
        <v>5000</v>
      </c>
      <c r="H6">
        <v>350</v>
      </c>
      <c r="I6">
        <v>5000</v>
      </c>
      <c r="J6">
        <v>400</v>
      </c>
      <c r="K6">
        <v>6000</v>
      </c>
    </row>
    <row r="7" spans="1:11" x14ac:dyDescent="0.25">
      <c r="A7" t="s">
        <v>55</v>
      </c>
      <c r="B7" t="s">
        <v>20</v>
      </c>
      <c r="C7" t="s">
        <v>29</v>
      </c>
      <c r="D7" t="s">
        <v>46</v>
      </c>
      <c r="E7">
        <v>99</v>
      </c>
      <c r="F7">
        <v>5</v>
      </c>
      <c r="G7">
        <v>5000</v>
      </c>
      <c r="H7">
        <v>350</v>
      </c>
      <c r="I7">
        <v>5000</v>
      </c>
      <c r="J7">
        <v>400</v>
      </c>
      <c r="K7">
        <v>6000</v>
      </c>
    </row>
    <row r="8" spans="1:11" x14ac:dyDescent="0.25">
      <c r="A8" t="s">
        <v>76</v>
      </c>
      <c r="B8" t="s">
        <v>47</v>
      </c>
      <c r="C8" t="s">
        <v>29</v>
      </c>
      <c r="D8" t="s">
        <v>30</v>
      </c>
      <c r="E8">
        <v>99</v>
      </c>
      <c r="F8">
        <v>5</v>
      </c>
      <c r="G8">
        <v>5000</v>
      </c>
      <c r="I8">
        <v>5000</v>
      </c>
      <c r="J8">
        <v>400</v>
      </c>
      <c r="K8">
        <v>6000</v>
      </c>
    </row>
    <row r="9" spans="1:11" x14ac:dyDescent="0.25">
      <c r="A9" t="s">
        <v>76</v>
      </c>
      <c r="B9" t="s">
        <v>47</v>
      </c>
      <c r="C9" t="s">
        <v>29</v>
      </c>
      <c r="D9" t="s">
        <v>38</v>
      </c>
      <c r="E9">
        <v>99</v>
      </c>
      <c r="F9">
        <v>5</v>
      </c>
      <c r="G9">
        <v>5000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97</v>
      </c>
      <c r="C10" t="s">
        <v>29</v>
      </c>
      <c r="D10" t="s">
        <v>45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97</v>
      </c>
      <c r="C11" t="s">
        <v>29</v>
      </c>
      <c r="D11" t="s">
        <v>39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97</v>
      </c>
      <c r="C12" t="s">
        <v>29</v>
      </c>
      <c r="D12" t="s">
        <v>46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29</v>
      </c>
      <c r="D13" t="s">
        <v>30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29</v>
      </c>
      <c r="D14" t="s">
        <v>39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29</v>
      </c>
      <c r="D15" t="s">
        <v>38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29</v>
      </c>
      <c r="D16" t="s">
        <v>37</v>
      </c>
      <c r="E16">
        <v>99</v>
      </c>
      <c r="F16">
        <v>5</v>
      </c>
      <c r="G16">
        <v>5000</v>
      </c>
      <c r="H16">
        <v>500</v>
      </c>
      <c r="I16">
        <v>5000</v>
      </c>
      <c r="J16">
        <v>400</v>
      </c>
      <c r="K16">
        <v>6000</v>
      </c>
    </row>
    <row r="17" spans="1:11" x14ac:dyDescent="0.25">
      <c r="A17" t="s">
        <v>19</v>
      </c>
      <c r="B17" t="s">
        <v>20</v>
      </c>
      <c r="C17" t="s">
        <v>34</v>
      </c>
      <c r="D17" t="s">
        <v>40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38</v>
      </c>
      <c r="C18" t="s">
        <v>34</v>
      </c>
      <c r="D18" t="s">
        <v>52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38</v>
      </c>
      <c r="C19" t="s">
        <v>34</v>
      </c>
      <c r="D19" t="s">
        <v>54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38</v>
      </c>
      <c r="C20" t="s">
        <v>34</v>
      </c>
      <c r="D20" t="s">
        <v>53</v>
      </c>
      <c r="E20">
        <v>99</v>
      </c>
      <c r="F20">
        <v>1</v>
      </c>
      <c r="G20">
        <v>1</v>
      </c>
      <c r="H20">
        <v>1000</v>
      </c>
      <c r="I20">
        <v>500</v>
      </c>
      <c r="J20">
        <v>1000</v>
      </c>
      <c r="K20">
        <v>500</v>
      </c>
    </row>
    <row r="21" spans="1:11" x14ac:dyDescent="0.25">
      <c r="A21" t="s">
        <v>19</v>
      </c>
      <c r="B21" t="s">
        <v>41</v>
      </c>
      <c r="C21" t="s">
        <v>34</v>
      </c>
      <c r="D21" t="s">
        <v>97</v>
      </c>
      <c r="E21">
        <v>1</v>
      </c>
      <c r="F21">
        <v>1</v>
      </c>
      <c r="G21">
        <v>675</v>
      </c>
      <c r="H21">
        <v>675</v>
      </c>
      <c r="I21">
        <v>60</v>
      </c>
      <c r="J21">
        <v>675</v>
      </c>
      <c r="K21">
        <v>60</v>
      </c>
    </row>
    <row r="22" spans="1:11" x14ac:dyDescent="0.25">
      <c r="A22" t="s">
        <v>74</v>
      </c>
      <c r="B22" t="s">
        <v>30</v>
      </c>
      <c r="C22" t="s">
        <v>34</v>
      </c>
      <c r="D22" t="s">
        <v>78</v>
      </c>
      <c r="E22">
        <v>99</v>
      </c>
      <c r="F22">
        <v>1</v>
      </c>
      <c r="G22">
        <v>1</v>
      </c>
      <c r="H22">
        <v>1000</v>
      </c>
      <c r="I22">
        <v>500</v>
      </c>
      <c r="J22">
        <v>1000</v>
      </c>
      <c r="K22">
        <v>500</v>
      </c>
    </row>
    <row r="23" spans="1:11" x14ac:dyDescent="0.25">
      <c r="A23" t="s">
        <v>74</v>
      </c>
      <c r="B23" t="s">
        <v>38</v>
      </c>
      <c r="C23" t="s">
        <v>29</v>
      </c>
      <c r="D23" t="s">
        <v>45</v>
      </c>
      <c r="E23">
        <v>99</v>
      </c>
      <c r="F23">
        <v>1</v>
      </c>
      <c r="G23">
        <v>5000</v>
      </c>
      <c r="H23">
        <v>500</v>
      </c>
      <c r="I23">
        <v>5000</v>
      </c>
      <c r="J23">
        <v>400</v>
      </c>
      <c r="K23">
        <v>6000</v>
      </c>
    </row>
    <row r="24" spans="1:11" x14ac:dyDescent="0.25">
      <c r="A24" t="s">
        <v>74</v>
      </c>
      <c r="B24" t="s">
        <v>38</v>
      </c>
      <c r="C24" t="s">
        <v>34</v>
      </c>
      <c r="D24" t="s">
        <v>79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74</v>
      </c>
      <c r="B25" t="s">
        <v>38</v>
      </c>
      <c r="C25" t="s">
        <v>34</v>
      </c>
      <c r="D25" t="s">
        <v>54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  <row r="26" spans="1:11" x14ac:dyDescent="0.25">
      <c r="A26" t="s">
        <v>74</v>
      </c>
      <c r="B26" t="s">
        <v>38</v>
      </c>
      <c r="C26" t="s">
        <v>34</v>
      </c>
      <c r="D26" t="s">
        <v>39</v>
      </c>
      <c r="E26">
        <v>99</v>
      </c>
      <c r="F26">
        <v>1</v>
      </c>
      <c r="G26">
        <v>1</v>
      </c>
      <c r="H26">
        <v>1000</v>
      </c>
      <c r="I26">
        <v>500</v>
      </c>
      <c r="J26">
        <v>1000</v>
      </c>
      <c r="K26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zoomScale="145" zoomScaleNormal="145" workbookViewId="0">
      <selection activeCell="F16" sqref="F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7" customWidth="1"/>
    <col min="4" max="4" width="14.42578125" customWidth="1"/>
  </cols>
  <sheetData>
    <row r="1" spans="1:4" ht="30" x14ac:dyDescent="0.25">
      <c r="A1" s="2" t="s">
        <v>8</v>
      </c>
      <c r="B1" s="2" t="s">
        <v>10</v>
      </c>
      <c r="C1" s="7" t="s">
        <v>182</v>
      </c>
      <c r="D1" s="17" t="s">
        <v>155</v>
      </c>
    </row>
    <row r="2" spans="1:4" x14ac:dyDescent="0.25">
      <c r="A2" t="s">
        <v>52</v>
      </c>
      <c r="B2" t="s">
        <v>19</v>
      </c>
      <c r="C2" s="9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 s="9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74</v>
      </c>
      <c r="C4" s="9">
        <f>271783/(364*24)</f>
        <v>31.110691391941391</v>
      </c>
      <c r="D4" s="3">
        <f t="shared" si="0"/>
        <v>271783</v>
      </c>
    </row>
    <row r="5" spans="1:4" x14ac:dyDescent="0.25">
      <c r="A5" t="s">
        <v>79</v>
      </c>
      <c r="B5" t="s">
        <v>74</v>
      </c>
      <c r="C5" s="9">
        <f>43297/(364*24)</f>
        <v>4.9561584249084252</v>
      </c>
      <c r="D5" s="3">
        <f t="shared" si="0"/>
        <v>43297</v>
      </c>
    </row>
    <row r="6" spans="1:4" x14ac:dyDescent="0.25">
      <c r="A6" t="s">
        <v>54</v>
      </c>
      <c r="B6" t="s">
        <v>19</v>
      </c>
      <c r="C6" s="9">
        <f>75000/(364*24)</f>
        <v>8.5851648351648358</v>
      </c>
      <c r="D6" s="3">
        <f>C6*364*24</f>
        <v>75000</v>
      </c>
    </row>
    <row r="7" spans="1:4" x14ac:dyDescent="0.25">
      <c r="A7" t="s">
        <v>54</v>
      </c>
      <c r="B7" t="s">
        <v>74</v>
      </c>
      <c r="C7" s="9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 s="9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 s="9">
        <f>32346/(364*24)</f>
        <v>3.7026098901098901</v>
      </c>
      <c r="D9" s="3">
        <f t="shared" si="0"/>
        <v>32346</v>
      </c>
    </row>
    <row r="10" spans="1:4" x14ac:dyDescent="0.25">
      <c r="A10" t="s">
        <v>45</v>
      </c>
      <c r="B10" t="s">
        <v>19</v>
      </c>
      <c r="C10" s="9">
        <f>843403/(364*24)</f>
        <v>96.543383699633694</v>
      </c>
      <c r="D10" s="3">
        <f t="shared" si="0"/>
        <v>843403</v>
      </c>
    </row>
    <row r="11" spans="1:4" x14ac:dyDescent="0.25">
      <c r="A11" t="s">
        <v>45</v>
      </c>
      <c r="B11" t="s">
        <v>55</v>
      </c>
      <c r="C11" s="9">
        <f>413226/(364*24)</f>
        <v>47.301510989010985</v>
      </c>
      <c r="D11" s="3">
        <f t="shared" si="0"/>
        <v>413226</v>
      </c>
    </row>
    <row r="12" spans="1:4" x14ac:dyDescent="0.25">
      <c r="A12" t="s">
        <v>45</v>
      </c>
      <c r="B12" t="s">
        <v>74</v>
      </c>
      <c r="C12" s="9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 s="9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74</v>
      </c>
      <c r="C14" s="9">
        <f>29812/(364*24)</f>
        <v>3.4125457875457874</v>
      </c>
      <c r="D14" s="3">
        <f t="shared" si="0"/>
        <v>29811.999999999996</v>
      </c>
    </row>
    <row r="15" spans="1:4" x14ac:dyDescent="0.25">
      <c r="A15" t="s">
        <v>46</v>
      </c>
      <c r="B15" t="s">
        <v>19</v>
      </c>
      <c r="C15" s="9">
        <f>139033/(364*24)</f>
        <v>15.914949633699633</v>
      </c>
      <c r="D15" s="3">
        <f t="shared" si="0"/>
        <v>139033</v>
      </c>
    </row>
    <row r="16" spans="1:4" x14ac:dyDescent="0.25">
      <c r="A16" t="s">
        <v>46</v>
      </c>
      <c r="B16" t="s">
        <v>55</v>
      </c>
      <c r="C16" s="9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 s="9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55</v>
      </c>
      <c r="C18" s="9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74</v>
      </c>
      <c r="C19" s="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 s="9">
        <f>171055/(364*24)</f>
        <v>19.580471611721613</v>
      </c>
      <c r="D20" s="3">
        <f t="shared" si="0"/>
        <v>171055</v>
      </c>
    </row>
    <row r="21" spans="1:4" x14ac:dyDescent="0.25">
      <c r="A21" t="s">
        <v>78</v>
      </c>
      <c r="B21" t="s">
        <v>74</v>
      </c>
      <c r="C21" s="9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 s="9">
        <f>420346/(364*24)</f>
        <v>48.116529304029307</v>
      </c>
      <c r="D22" s="3">
        <f t="shared" si="0"/>
        <v>420346</v>
      </c>
    </row>
    <row r="23" spans="1:4" x14ac:dyDescent="0.25">
      <c r="A23" t="s">
        <v>53</v>
      </c>
      <c r="B23" t="s">
        <v>19</v>
      </c>
      <c r="C23" s="9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F97F-A900-4D2E-8A4B-C2FBC2DAE775}">
  <dimension ref="A1:C10"/>
  <sheetViews>
    <sheetView zoomScale="145" zoomScaleNormal="145" workbookViewId="0">
      <selection activeCell="C1" sqref="C1"/>
    </sheetView>
  </sheetViews>
  <sheetFormatPr defaultRowHeight="15" x14ac:dyDescent="0.25"/>
  <cols>
    <col min="1" max="1" width="13.7109375" customWidth="1"/>
    <col min="3" max="3" width="17.42578125" customWidth="1"/>
  </cols>
  <sheetData>
    <row r="1" spans="1:3" ht="45" x14ac:dyDescent="0.25">
      <c r="A1" s="4" t="s">
        <v>183</v>
      </c>
      <c r="B1" s="4" t="s">
        <v>184</v>
      </c>
      <c r="C1" s="10" t="s">
        <v>205</v>
      </c>
    </row>
    <row r="2" spans="1:3" x14ac:dyDescent="0.25">
      <c r="A2" t="s">
        <v>30</v>
      </c>
    </row>
    <row r="3" spans="1:3" x14ac:dyDescent="0.25">
      <c r="A3" t="s">
        <v>97</v>
      </c>
    </row>
    <row r="4" spans="1:3" x14ac:dyDescent="0.25">
      <c r="A4" t="s">
        <v>20</v>
      </c>
    </row>
    <row r="5" spans="1:3" x14ac:dyDescent="0.25">
      <c r="A5" t="s">
        <v>47</v>
      </c>
    </row>
    <row r="6" spans="1:3" x14ac:dyDescent="0.25">
      <c r="A6" t="s">
        <v>45</v>
      </c>
    </row>
    <row r="7" spans="1:3" x14ac:dyDescent="0.25">
      <c r="A7" t="s">
        <v>39</v>
      </c>
    </row>
    <row r="8" spans="1:3" x14ac:dyDescent="0.25">
      <c r="A8" t="s">
        <v>46</v>
      </c>
    </row>
    <row r="9" spans="1:3" x14ac:dyDescent="0.25">
      <c r="A9" t="s">
        <v>38</v>
      </c>
    </row>
    <row r="10" spans="1:3" x14ac:dyDescent="0.25">
      <c r="A10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24"/>
  <sheetViews>
    <sheetView zoomScale="160" zoomScaleNormal="160" workbookViewId="0">
      <selection activeCell="S1" sqref="R1:S1048576"/>
    </sheetView>
  </sheetViews>
  <sheetFormatPr defaultRowHeight="15" x14ac:dyDescent="0.25"/>
  <cols>
    <col min="2" max="2" width="8.28515625" bestFit="1" customWidth="1"/>
    <col min="4" max="4" width="11.7109375" bestFit="1" customWidth="1"/>
    <col min="8" max="8" width="14" style="12" customWidth="1"/>
    <col min="9" max="9" width="10.42578125" bestFit="1" customWidth="1"/>
    <col min="18" max="18" width="12.140625" bestFit="1" customWidth="1"/>
    <col min="19" max="19" width="13.85546875" bestFit="1" customWidth="1"/>
  </cols>
  <sheetData>
    <row r="1" spans="1:19" s="13" customFormat="1" x14ac:dyDescent="0.25">
      <c r="A1" s="13" t="s">
        <v>80</v>
      </c>
      <c r="B1" s="13" t="s">
        <v>83</v>
      </c>
      <c r="C1" s="13" t="s">
        <v>81</v>
      </c>
      <c r="D1" s="13" t="s">
        <v>84</v>
      </c>
      <c r="E1" s="13" t="s">
        <v>85</v>
      </c>
      <c r="F1" s="13" t="s">
        <v>86</v>
      </c>
      <c r="H1" s="14" t="s">
        <v>196</v>
      </c>
      <c r="I1" s="13" t="s">
        <v>185</v>
      </c>
      <c r="J1" s="13" t="s">
        <v>199</v>
      </c>
    </row>
    <row r="2" spans="1:19" x14ac:dyDescent="0.25">
      <c r="A2">
        <v>1</v>
      </c>
      <c r="B2">
        <v>1</v>
      </c>
      <c r="C2" t="s">
        <v>87</v>
      </c>
      <c r="D2" t="s">
        <v>20</v>
      </c>
      <c r="E2" t="s">
        <v>88</v>
      </c>
      <c r="F2">
        <v>1</v>
      </c>
      <c r="H2" s="12" t="s">
        <v>187</v>
      </c>
      <c r="I2">
        <v>1</v>
      </c>
      <c r="J2">
        <v>2</v>
      </c>
      <c r="S2" s="11"/>
    </row>
    <row r="3" spans="1:19" x14ac:dyDescent="0.25">
      <c r="A3">
        <v>2</v>
      </c>
      <c r="B3">
        <v>1</v>
      </c>
      <c r="C3" t="s">
        <v>87</v>
      </c>
      <c r="D3" t="s">
        <v>30</v>
      </c>
      <c r="E3" t="s">
        <v>88</v>
      </c>
      <c r="F3">
        <v>1</v>
      </c>
      <c r="H3" s="12" t="s">
        <v>200</v>
      </c>
      <c r="I3">
        <v>5000</v>
      </c>
      <c r="J3">
        <v>5000</v>
      </c>
      <c r="S3" s="11"/>
    </row>
    <row r="4" spans="1:19" x14ac:dyDescent="0.25">
      <c r="A4">
        <v>1</v>
      </c>
      <c r="B4">
        <v>2</v>
      </c>
      <c r="C4" t="s">
        <v>89</v>
      </c>
      <c r="D4" t="s">
        <v>20</v>
      </c>
      <c r="E4" t="s">
        <v>90</v>
      </c>
      <c r="F4">
        <v>6</v>
      </c>
      <c r="H4" s="12" t="s">
        <v>186</v>
      </c>
      <c r="I4">
        <v>4</v>
      </c>
      <c r="J4">
        <v>5</v>
      </c>
      <c r="S4" s="11"/>
    </row>
    <row r="5" spans="1:19" x14ac:dyDescent="0.25">
      <c r="A5">
        <v>2</v>
      </c>
      <c r="B5">
        <v>2</v>
      </c>
      <c r="C5" t="s">
        <v>89</v>
      </c>
      <c r="D5" t="s">
        <v>30</v>
      </c>
      <c r="E5" t="s">
        <v>90</v>
      </c>
      <c r="F5">
        <v>6</v>
      </c>
    </row>
    <row r="6" spans="1:19" x14ac:dyDescent="0.25">
      <c r="A6">
        <v>1</v>
      </c>
      <c r="B6">
        <v>3</v>
      </c>
      <c r="C6" t="s">
        <v>89</v>
      </c>
      <c r="D6" t="s">
        <v>20</v>
      </c>
      <c r="E6" t="s">
        <v>90</v>
      </c>
      <c r="F6">
        <v>2</v>
      </c>
      <c r="H6" s="12" t="s">
        <v>197</v>
      </c>
      <c r="I6">
        <v>1</v>
      </c>
    </row>
    <row r="7" spans="1:19" x14ac:dyDescent="0.25">
      <c r="A7">
        <v>2</v>
      </c>
      <c r="B7">
        <v>3</v>
      </c>
      <c r="C7" t="s">
        <v>89</v>
      </c>
      <c r="D7" t="s">
        <v>38</v>
      </c>
      <c r="E7" t="s">
        <v>90</v>
      </c>
      <c r="F7">
        <v>2</v>
      </c>
      <c r="H7" s="12" t="s">
        <v>198</v>
      </c>
      <c r="I7" t="s">
        <v>185</v>
      </c>
      <c r="J7" t="s">
        <v>185</v>
      </c>
      <c r="K7" t="s">
        <v>185</v>
      </c>
      <c r="L7" t="s">
        <v>185</v>
      </c>
    </row>
    <row r="8" spans="1:19" x14ac:dyDescent="0.25">
      <c r="A8">
        <v>1</v>
      </c>
      <c r="B8">
        <v>4</v>
      </c>
      <c r="C8" t="s">
        <v>91</v>
      </c>
      <c r="D8" t="s">
        <v>20</v>
      </c>
      <c r="E8" t="s">
        <v>92</v>
      </c>
      <c r="F8">
        <v>1</v>
      </c>
      <c r="H8" s="12" t="s">
        <v>188</v>
      </c>
      <c r="I8" t="s">
        <v>97</v>
      </c>
      <c r="J8" t="s">
        <v>97</v>
      </c>
      <c r="K8" t="s">
        <v>97</v>
      </c>
      <c r="L8" t="s">
        <v>97</v>
      </c>
    </row>
    <row r="9" spans="1:19" x14ac:dyDescent="0.25">
      <c r="A9">
        <v>2</v>
      </c>
      <c r="B9">
        <v>4</v>
      </c>
      <c r="C9" t="s">
        <v>91</v>
      </c>
      <c r="D9" t="s">
        <v>30</v>
      </c>
      <c r="E9" t="s">
        <v>92</v>
      </c>
      <c r="F9">
        <v>1</v>
      </c>
      <c r="H9" s="12" t="s">
        <v>189</v>
      </c>
      <c r="I9" t="s">
        <v>19</v>
      </c>
      <c r="J9" t="s">
        <v>19</v>
      </c>
      <c r="K9" t="s">
        <v>19</v>
      </c>
      <c r="L9" t="s">
        <v>19</v>
      </c>
    </row>
    <row r="10" spans="1:19" x14ac:dyDescent="0.25">
      <c r="A10">
        <v>1</v>
      </c>
      <c r="B10">
        <v>5</v>
      </c>
      <c r="C10" t="s">
        <v>93</v>
      </c>
      <c r="D10" t="s">
        <v>20</v>
      </c>
      <c r="E10" t="s">
        <v>94</v>
      </c>
      <c r="F10">
        <v>23</v>
      </c>
      <c r="H10" s="12" t="s">
        <v>190</v>
      </c>
      <c r="I10" t="s">
        <v>192</v>
      </c>
      <c r="J10" t="s">
        <v>192</v>
      </c>
      <c r="K10" t="s">
        <v>192</v>
      </c>
      <c r="L10" t="s">
        <v>192</v>
      </c>
    </row>
    <row r="11" spans="1:19" x14ac:dyDescent="0.25">
      <c r="A11">
        <v>2</v>
      </c>
      <c r="B11">
        <v>5</v>
      </c>
      <c r="C11" t="s">
        <v>93</v>
      </c>
      <c r="D11" t="s">
        <v>95</v>
      </c>
      <c r="E11" t="s">
        <v>94</v>
      </c>
      <c r="F11">
        <v>23</v>
      </c>
      <c r="H11" s="12" t="s">
        <v>191</v>
      </c>
      <c r="I11" t="s">
        <v>192</v>
      </c>
      <c r="J11" t="s">
        <v>192</v>
      </c>
      <c r="K11" t="s">
        <v>192</v>
      </c>
      <c r="L11" t="s">
        <v>192</v>
      </c>
    </row>
    <row r="12" spans="1:19" x14ac:dyDescent="0.25">
      <c r="A12">
        <v>1</v>
      </c>
      <c r="B12">
        <v>6</v>
      </c>
      <c r="C12" t="s">
        <v>93</v>
      </c>
      <c r="D12" t="s">
        <v>20</v>
      </c>
      <c r="E12" t="s">
        <v>94</v>
      </c>
      <c r="F12">
        <v>19</v>
      </c>
      <c r="H12" s="12" t="s">
        <v>193</v>
      </c>
      <c r="I12" t="s">
        <v>45</v>
      </c>
      <c r="J12" t="s">
        <v>39</v>
      </c>
      <c r="K12" t="s">
        <v>96</v>
      </c>
    </row>
    <row r="13" spans="1:19" x14ac:dyDescent="0.25">
      <c r="A13">
        <v>2</v>
      </c>
      <c r="B13">
        <v>6</v>
      </c>
      <c r="C13" t="s">
        <v>93</v>
      </c>
      <c r="D13" t="s">
        <v>37</v>
      </c>
      <c r="E13" t="s">
        <v>94</v>
      </c>
      <c r="F13">
        <v>19</v>
      </c>
      <c r="H13" s="12" t="s">
        <v>194</v>
      </c>
      <c r="I13" t="s">
        <v>192</v>
      </c>
    </row>
    <row r="14" spans="1:19" x14ac:dyDescent="0.25">
      <c r="A14">
        <v>1</v>
      </c>
      <c r="B14">
        <v>7</v>
      </c>
      <c r="C14" t="s">
        <v>93</v>
      </c>
      <c r="D14" t="s">
        <v>20</v>
      </c>
      <c r="E14" t="s">
        <v>94</v>
      </c>
      <c r="F14">
        <v>10</v>
      </c>
      <c r="H14" s="12" t="s">
        <v>195</v>
      </c>
      <c r="I14" t="s">
        <v>192</v>
      </c>
    </row>
    <row r="15" spans="1:19" x14ac:dyDescent="0.25">
      <c r="A15">
        <v>2</v>
      </c>
      <c r="B15">
        <v>7</v>
      </c>
      <c r="C15" t="s">
        <v>93</v>
      </c>
      <c r="D15" t="s">
        <v>45</v>
      </c>
      <c r="E15" t="s">
        <v>94</v>
      </c>
      <c r="F15">
        <v>10</v>
      </c>
    </row>
    <row r="16" spans="1:19" x14ac:dyDescent="0.25">
      <c r="A16">
        <v>1</v>
      </c>
      <c r="B16">
        <v>8</v>
      </c>
      <c r="C16" t="s">
        <v>93</v>
      </c>
      <c r="D16" t="s">
        <v>20</v>
      </c>
      <c r="E16" t="s">
        <v>94</v>
      </c>
      <c r="F16">
        <v>4</v>
      </c>
    </row>
    <row r="17" spans="1:6" x14ac:dyDescent="0.25">
      <c r="A17">
        <v>2</v>
      </c>
      <c r="B17">
        <v>8</v>
      </c>
      <c r="C17" t="s">
        <v>93</v>
      </c>
      <c r="D17" t="s">
        <v>45</v>
      </c>
      <c r="E17" t="s">
        <v>94</v>
      </c>
      <c r="F17">
        <v>4</v>
      </c>
    </row>
    <row r="18" spans="1:6" x14ac:dyDescent="0.25">
      <c r="A18">
        <v>3</v>
      </c>
      <c r="B18">
        <v>8</v>
      </c>
      <c r="C18" t="s">
        <v>93</v>
      </c>
      <c r="D18" t="s">
        <v>96</v>
      </c>
      <c r="E18" t="s">
        <v>94</v>
      </c>
      <c r="F18">
        <v>4</v>
      </c>
    </row>
    <row r="19" spans="1:6" x14ac:dyDescent="0.25">
      <c r="A19">
        <v>1</v>
      </c>
      <c r="B19">
        <v>9</v>
      </c>
      <c r="C19" t="s">
        <v>93</v>
      </c>
      <c r="D19" t="s">
        <v>20</v>
      </c>
      <c r="E19" t="s">
        <v>94</v>
      </c>
      <c r="F19">
        <v>3</v>
      </c>
    </row>
    <row r="20" spans="1:6" x14ac:dyDescent="0.25">
      <c r="A20">
        <v>2</v>
      </c>
      <c r="B20">
        <v>9</v>
      </c>
      <c r="C20" t="s">
        <v>93</v>
      </c>
      <c r="D20" t="s">
        <v>45</v>
      </c>
      <c r="E20" t="s">
        <v>94</v>
      </c>
      <c r="F20">
        <v>3</v>
      </c>
    </row>
    <row r="21" spans="1:6" x14ac:dyDescent="0.25">
      <c r="A21">
        <v>3</v>
      </c>
      <c r="B21">
        <v>9</v>
      </c>
      <c r="C21" t="s">
        <v>93</v>
      </c>
      <c r="D21" t="s">
        <v>39</v>
      </c>
      <c r="E21" t="s">
        <v>94</v>
      </c>
      <c r="F21">
        <v>3</v>
      </c>
    </row>
    <row r="22" spans="1:6" x14ac:dyDescent="0.25">
      <c r="A22">
        <v>1</v>
      </c>
      <c r="B22">
        <v>10</v>
      </c>
      <c r="C22" t="s">
        <v>93</v>
      </c>
      <c r="D22" t="s">
        <v>20</v>
      </c>
      <c r="E22" t="s">
        <v>94</v>
      </c>
      <c r="F22">
        <v>3</v>
      </c>
    </row>
    <row r="23" spans="1:6" x14ac:dyDescent="0.25">
      <c r="A23">
        <v>2</v>
      </c>
      <c r="B23">
        <v>10</v>
      </c>
      <c r="C23" t="s">
        <v>93</v>
      </c>
      <c r="D23" t="s">
        <v>39</v>
      </c>
      <c r="E23" t="s">
        <v>94</v>
      </c>
      <c r="F23">
        <v>3</v>
      </c>
    </row>
    <row r="24" spans="1:6" x14ac:dyDescent="0.25">
      <c r="A24">
        <v>1</v>
      </c>
      <c r="B24">
        <v>11</v>
      </c>
      <c r="C24" t="s">
        <v>93</v>
      </c>
      <c r="D24" t="s">
        <v>20</v>
      </c>
      <c r="E24" t="s">
        <v>94</v>
      </c>
      <c r="F24">
        <v>2</v>
      </c>
    </row>
    <row r="25" spans="1:6" x14ac:dyDescent="0.25">
      <c r="A25">
        <v>2</v>
      </c>
      <c r="B25">
        <v>11</v>
      </c>
      <c r="C25" t="s">
        <v>93</v>
      </c>
      <c r="D25" t="s">
        <v>45</v>
      </c>
      <c r="E25" t="s">
        <v>94</v>
      </c>
      <c r="F25">
        <v>2</v>
      </c>
    </row>
    <row r="26" spans="1:6" x14ac:dyDescent="0.25">
      <c r="A26">
        <v>3</v>
      </c>
      <c r="B26">
        <v>11</v>
      </c>
      <c r="C26" t="s">
        <v>93</v>
      </c>
      <c r="D26" t="s">
        <v>95</v>
      </c>
      <c r="E26" t="s">
        <v>94</v>
      </c>
      <c r="F26">
        <v>2</v>
      </c>
    </row>
    <row r="27" spans="1:6" x14ac:dyDescent="0.25">
      <c r="A27">
        <v>1</v>
      </c>
      <c r="B27">
        <v>12</v>
      </c>
      <c r="C27" t="s">
        <v>93</v>
      </c>
      <c r="D27" t="s">
        <v>20</v>
      </c>
      <c r="E27" t="s">
        <v>94</v>
      </c>
      <c r="F27">
        <v>2</v>
      </c>
    </row>
    <row r="28" spans="1:6" x14ac:dyDescent="0.25">
      <c r="A28">
        <v>2</v>
      </c>
      <c r="B28">
        <v>12</v>
      </c>
      <c r="C28" t="s">
        <v>93</v>
      </c>
      <c r="D28" t="s">
        <v>39</v>
      </c>
      <c r="E28" t="s">
        <v>94</v>
      </c>
      <c r="F28">
        <v>2</v>
      </c>
    </row>
    <row r="29" spans="1:6" x14ac:dyDescent="0.25">
      <c r="A29">
        <v>3</v>
      </c>
      <c r="B29">
        <v>12</v>
      </c>
      <c r="C29" t="s">
        <v>93</v>
      </c>
      <c r="D29" t="s">
        <v>95</v>
      </c>
      <c r="E29" t="s">
        <v>94</v>
      </c>
      <c r="F29">
        <v>2</v>
      </c>
    </row>
    <row r="30" spans="1:6" x14ac:dyDescent="0.25">
      <c r="A30">
        <v>1</v>
      </c>
      <c r="B30">
        <v>13</v>
      </c>
      <c r="C30" t="s">
        <v>93</v>
      </c>
      <c r="D30" t="s">
        <v>20</v>
      </c>
      <c r="E30" t="s">
        <v>94</v>
      </c>
      <c r="F30">
        <v>2</v>
      </c>
    </row>
    <row r="31" spans="1:6" x14ac:dyDescent="0.25">
      <c r="A31">
        <v>2</v>
      </c>
      <c r="B31">
        <v>13</v>
      </c>
      <c r="C31" t="s">
        <v>93</v>
      </c>
      <c r="D31" t="s">
        <v>95</v>
      </c>
      <c r="E31" t="s">
        <v>94</v>
      </c>
      <c r="F31">
        <v>2</v>
      </c>
    </row>
    <row r="32" spans="1:6" x14ac:dyDescent="0.25">
      <c r="A32">
        <v>3</v>
      </c>
      <c r="B32">
        <v>13</v>
      </c>
      <c r="C32" t="s">
        <v>93</v>
      </c>
      <c r="D32" t="s">
        <v>45</v>
      </c>
      <c r="E32" t="s">
        <v>94</v>
      </c>
      <c r="F32">
        <v>2</v>
      </c>
    </row>
    <row r="33" spans="1:6" x14ac:dyDescent="0.25">
      <c r="A33">
        <v>1</v>
      </c>
      <c r="B33">
        <v>14</v>
      </c>
      <c r="C33" t="s">
        <v>93</v>
      </c>
      <c r="D33" t="s">
        <v>20</v>
      </c>
      <c r="E33" t="s">
        <v>94</v>
      </c>
      <c r="F33">
        <v>1</v>
      </c>
    </row>
    <row r="34" spans="1:6" x14ac:dyDescent="0.25">
      <c r="A34">
        <v>2</v>
      </c>
      <c r="B34">
        <v>14</v>
      </c>
      <c r="C34" t="s">
        <v>93</v>
      </c>
      <c r="D34" t="s">
        <v>30</v>
      </c>
      <c r="E34" t="s">
        <v>94</v>
      </c>
      <c r="F34">
        <v>1</v>
      </c>
    </row>
    <row r="35" spans="1:6" x14ac:dyDescent="0.25">
      <c r="A35">
        <v>1</v>
      </c>
      <c r="B35">
        <v>15</v>
      </c>
      <c r="C35" t="s">
        <v>93</v>
      </c>
      <c r="D35" t="s">
        <v>20</v>
      </c>
      <c r="E35" t="s">
        <v>94</v>
      </c>
      <c r="F35">
        <v>1</v>
      </c>
    </row>
    <row r="36" spans="1:6" x14ac:dyDescent="0.25">
      <c r="A36">
        <v>2</v>
      </c>
      <c r="B36">
        <v>15</v>
      </c>
      <c r="C36" t="s">
        <v>93</v>
      </c>
      <c r="D36" t="s">
        <v>30</v>
      </c>
      <c r="E36" t="s">
        <v>94</v>
      </c>
      <c r="F36">
        <v>1</v>
      </c>
    </row>
    <row r="37" spans="1:6" x14ac:dyDescent="0.25">
      <c r="A37">
        <v>3</v>
      </c>
      <c r="B37">
        <v>15</v>
      </c>
      <c r="C37" t="s">
        <v>93</v>
      </c>
      <c r="D37" t="s">
        <v>20</v>
      </c>
      <c r="E37" t="s">
        <v>94</v>
      </c>
      <c r="F37">
        <v>1</v>
      </c>
    </row>
    <row r="38" spans="1:6" x14ac:dyDescent="0.25">
      <c r="A38">
        <v>4</v>
      </c>
      <c r="B38">
        <v>15</v>
      </c>
      <c r="C38" t="s">
        <v>93</v>
      </c>
      <c r="D38" t="s">
        <v>39</v>
      </c>
      <c r="E38" t="s">
        <v>94</v>
      </c>
      <c r="F38">
        <v>1</v>
      </c>
    </row>
    <row r="39" spans="1:6" x14ac:dyDescent="0.25">
      <c r="A39">
        <v>1</v>
      </c>
      <c r="B39">
        <v>16</v>
      </c>
      <c r="C39" t="s">
        <v>93</v>
      </c>
      <c r="D39" t="s">
        <v>20</v>
      </c>
      <c r="E39" t="s">
        <v>94</v>
      </c>
      <c r="F39">
        <v>1</v>
      </c>
    </row>
    <row r="40" spans="1:6" x14ac:dyDescent="0.25">
      <c r="A40">
        <v>2</v>
      </c>
      <c r="B40">
        <v>16</v>
      </c>
      <c r="C40" t="s">
        <v>93</v>
      </c>
      <c r="D40" t="s">
        <v>30</v>
      </c>
      <c r="E40" t="s">
        <v>94</v>
      </c>
      <c r="F40">
        <v>1</v>
      </c>
    </row>
    <row r="41" spans="1:6" x14ac:dyDescent="0.25">
      <c r="A41">
        <v>3</v>
      </c>
      <c r="B41">
        <v>16</v>
      </c>
      <c r="C41" t="s">
        <v>93</v>
      </c>
      <c r="D41" t="s">
        <v>45</v>
      </c>
      <c r="E41" t="s">
        <v>94</v>
      </c>
      <c r="F41">
        <v>1</v>
      </c>
    </row>
    <row r="42" spans="1:6" x14ac:dyDescent="0.25">
      <c r="A42">
        <v>1</v>
      </c>
      <c r="B42">
        <v>17</v>
      </c>
      <c r="C42" t="s">
        <v>93</v>
      </c>
      <c r="D42" t="s">
        <v>20</v>
      </c>
      <c r="E42" t="s">
        <v>94</v>
      </c>
      <c r="F42">
        <v>1</v>
      </c>
    </row>
    <row r="43" spans="1:6" x14ac:dyDescent="0.25">
      <c r="A43">
        <v>2</v>
      </c>
      <c r="B43">
        <v>17</v>
      </c>
      <c r="C43" t="s">
        <v>93</v>
      </c>
      <c r="D43" t="s">
        <v>39</v>
      </c>
      <c r="E43" t="s">
        <v>94</v>
      </c>
      <c r="F43">
        <v>1</v>
      </c>
    </row>
    <row r="44" spans="1:6" x14ac:dyDescent="0.25">
      <c r="A44">
        <v>3</v>
      </c>
      <c r="B44">
        <v>17</v>
      </c>
      <c r="C44" t="s">
        <v>93</v>
      </c>
      <c r="D44" t="s">
        <v>20</v>
      </c>
      <c r="E44" t="s">
        <v>94</v>
      </c>
      <c r="F44">
        <v>1</v>
      </c>
    </row>
    <row r="45" spans="1:6" x14ac:dyDescent="0.25">
      <c r="A45">
        <v>4</v>
      </c>
      <c r="B45">
        <v>17</v>
      </c>
      <c r="C45" t="s">
        <v>93</v>
      </c>
      <c r="D45" t="s">
        <v>96</v>
      </c>
      <c r="E45" t="s">
        <v>94</v>
      </c>
      <c r="F45">
        <v>1</v>
      </c>
    </row>
    <row r="46" spans="1:6" x14ac:dyDescent="0.25">
      <c r="A46">
        <v>5</v>
      </c>
      <c r="B46">
        <v>17</v>
      </c>
      <c r="C46" t="s">
        <v>93</v>
      </c>
      <c r="D46" t="s">
        <v>95</v>
      </c>
      <c r="E46" t="s">
        <v>94</v>
      </c>
      <c r="F46">
        <v>1</v>
      </c>
    </row>
    <row r="47" spans="1:6" x14ac:dyDescent="0.25">
      <c r="A47">
        <v>1</v>
      </c>
      <c r="B47">
        <v>18</v>
      </c>
      <c r="C47" t="s">
        <v>93</v>
      </c>
      <c r="D47" t="s">
        <v>20</v>
      </c>
      <c r="E47" t="s">
        <v>94</v>
      </c>
      <c r="F47">
        <v>1</v>
      </c>
    </row>
    <row r="48" spans="1:6" x14ac:dyDescent="0.25">
      <c r="A48">
        <v>2</v>
      </c>
      <c r="B48">
        <v>18</v>
      </c>
      <c r="C48" t="s">
        <v>93</v>
      </c>
      <c r="D48" t="s">
        <v>39</v>
      </c>
      <c r="E48" t="s">
        <v>94</v>
      </c>
      <c r="F48">
        <v>1</v>
      </c>
    </row>
    <row r="49" spans="1:6" x14ac:dyDescent="0.25">
      <c r="A49">
        <v>3</v>
      </c>
      <c r="B49">
        <v>18</v>
      </c>
      <c r="C49" t="s">
        <v>93</v>
      </c>
      <c r="D49" t="s">
        <v>45</v>
      </c>
      <c r="E49" t="s">
        <v>94</v>
      </c>
      <c r="F49">
        <v>1</v>
      </c>
    </row>
    <row r="50" spans="1:6" x14ac:dyDescent="0.25">
      <c r="A50">
        <v>4</v>
      </c>
      <c r="B50">
        <v>18</v>
      </c>
      <c r="C50" t="s">
        <v>93</v>
      </c>
      <c r="D50" t="s">
        <v>97</v>
      </c>
      <c r="E50" t="s">
        <v>94</v>
      </c>
      <c r="F50">
        <v>1</v>
      </c>
    </row>
    <row r="51" spans="1:6" x14ac:dyDescent="0.25">
      <c r="A51">
        <v>5</v>
      </c>
      <c r="B51">
        <v>18</v>
      </c>
      <c r="C51" t="s">
        <v>93</v>
      </c>
      <c r="D51" t="s">
        <v>96</v>
      </c>
      <c r="E51" t="s">
        <v>94</v>
      </c>
      <c r="F51">
        <v>1</v>
      </c>
    </row>
    <row r="52" spans="1:6" x14ac:dyDescent="0.25">
      <c r="A52">
        <v>1</v>
      </c>
      <c r="B52">
        <v>19</v>
      </c>
      <c r="C52" t="s">
        <v>93</v>
      </c>
      <c r="D52" t="s">
        <v>20</v>
      </c>
      <c r="E52" t="s">
        <v>94</v>
      </c>
      <c r="F52">
        <v>1</v>
      </c>
    </row>
    <row r="53" spans="1:6" x14ac:dyDescent="0.25">
      <c r="A53">
        <v>2</v>
      </c>
      <c r="B53">
        <v>19</v>
      </c>
      <c r="C53" t="s">
        <v>93</v>
      </c>
      <c r="D53" t="s">
        <v>39</v>
      </c>
      <c r="E53" t="s">
        <v>94</v>
      </c>
      <c r="F53">
        <v>1</v>
      </c>
    </row>
    <row r="54" spans="1:6" x14ac:dyDescent="0.25">
      <c r="A54">
        <v>3</v>
      </c>
      <c r="B54">
        <v>19</v>
      </c>
      <c r="C54" t="s">
        <v>93</v>
      </c>
      <c r="D54" t="s">
        <v>96</v>
      </c>
      <c r="E54" t="s">
        <v>94</v>
      </c>
      <c r="F54">
        <v>1</v>
      </c>
    </row>
    <row r="55" spans="1:6" x14ac:dyDescent="0.25">
      <c r="A55">
        <v>1</v>
      </c>
      <c r="B55">
        <v>20</v>
      </c>
      <c r="C55" t="s">
        <v>93</v>
      </c>
      <c r="D55" t="s">
        <v>20</v>
      </c>
      <c r="E55" t="s">
        <v>94</v>
      </c>
      <c r="F55">
        <v>1</v>
      </c>
    </row>
    <row r="56" spans="1:6" x14ac:dyDescent="0.25">
      <c r="A56">
        <v>2</v>
      </c>
      <c r="B56">
        <v>20</v>
      </c>
      <c r="C56" t="s">
        <v>93</v>
      </c>
      <c r="D56" t="s">
        <v>96</v>
      </c>
      <c r="E56" t="s">
        <v>94</v>
      </c>
      <c r="F56">
        <v>1</v>
      </c>
    </row>
    <row r="57" spans="1:6" x14ac:dyDescent="0.25">
      <c r="A57">
        <v>3</v>
      </c>
      <c r="B57">
        <v>20</v>
      </c>
      <c r="C57" t="s">
        <v>93</v>
      </c>
      <c r="D57" t="s">
        <v>20</v>
      </c>
      <c r="E57" t="s">
        <v>94</v>
      </c>
      <c r="F57">
        <v>1</v>
      </c>
    </row>
    <row r="58" spans="1:6" x14ac:dyDescent="0.25">
      <c r="A58">
        <v>4</v>
      </c>
      <c r="B58">
        <v>20</v>
      </c>
      <c r="C58" t="s">
        <v>93</v>
      </c>
      <c r="D58" t="s">
        <v>30</v>
      </c>
      <c r="E58" t="s">
        <v>94</v>
      </c>
      <c r="F58">
        <v>1</v>
      </c>
    </row>
    <row r="59" spans="1:6" x14ac:dyDescent="0.25">
      <c r="A59">
        <v>1</v>
      </c>
      <c r="B59">
        <v>21</v>
      </c>
      <c r="C59" t="s">
        <v>93</v>
      </c>
      <c r="D59" t="s">
        <v>20</v>
      </c>
      <c r="E59" t="s">
        <v>94</v>
      </c>
      <c r="F59">
        <v>1</v>
      </c>
    </row>
    <row r="60" spans="1:6" x14ac:dyDescent="0.25">
      <c r="A60">
        <v>2</v>
      </c>
      <c r="B60">
        <v>21</v>
      </c>
      <c r="C60" t="s">
        <v>93</v>
      </c>
      <c r="D60" t="s">
        <v>95</v>
      </c>
      <c r="E60" t="s">
        <v>94</v>
      </c>
      <c r="F60">
        <v>1</v>
      </c>
    </row>
    <row r="61" spans="1:6" x14ac:dyDescent="0.25">
      <c r="A61">
        <v>3</v>
      </c>
      <c r="B61">
        <v>21</v>
      </c>
      <c r="C61" t="s">
        <v>93</v>
      </c>
      <c r="D61" t="s">
        <v>20</v>
      </c>
      <c r="E61" t="s">
        <v>94</v>
      </c>
      <c r="F61">
        <v>1</v>
      </c>
    </row>
    <row r="62" spans="1:6" x14ac:dyDescent="0.25">
      <c r="A62">
        <v>4</v>
      </c>
      <c r="B62">
        <v>21</v>
      </c>
      <c r="C62" t="s">
        <v>93</v>
      </c>
      <c r="D62" t="s">
        <v>45</v>
      </c>
      <c r="E62" t="s">
        <v>94</v>
      </c>
      <c r="F62">
        <v>1</v>
      </c>
    </row>
    <row r="63" spans="1:6" x14ac:dyDescent="0.25">
      <c r="A63">
        <v>5</v>
      </c>
      <c r="B63">
        <v>21</v>
      </c>
      <c r="C63" t="s">
        <v>93</v>
      </c>
      <c r="D63" t="s">
        <v>97</v>
      </c>
      <c r="E63" t="s">
        <v>94</v>
      </c>
      <c r="F63">
        <v>1</v>
      </c>
    </row>
    <row r="64" spans="1:6" x14ac:dyDescent="0.25">
      <c r="A64">
        <v>6</v>
      </c>
      <c r="B64">
        <v>21</v>
      </c>
      <c r="C64" t="s">
        <v>93</v>
      </c>
      <c r="D64" t="s">
        <v>96</v>
      </c>
      <c r="E64" t="s">
        <v>94</v>
      </c>
      <c r="F64">
        <v>1</v>
      </c>
    </row>
    <row r="65" spans="1:6" x14ac:dyDescent="0.25">
      <c r="A65">
        <v>1</v>
      </c>
      <c r="B65">
        <v>22</v>
      </c>
      <c r="C65" t="s">
        <v>93</v>
      </c>
      <c r="D65" t="s">
        <v>20</v>
      </c>
      <c r="E65" t="s">
        <v>94</v>
      </c>
      <c r="F65">
        <v>1</v>
      </c>
    </row>
    <row r="66" spans="1:6" x14ac:dyDescent="0.25">
      <c r="A66">
        <v>2</v>
      </c>
      <c r="B66">
        <v>22</v>
      </c>
      <c r="C66" t="s">
        <v>93</v>
      </c>
      <c r="D66" t="s">
        <v>95</v>
      </c>
      <c r="E66" t="s">
        <v>94</v>
      </c>
      <c r="F66">
        <v>1</v>
      </c>
    </row>
    <row r="67" spans="1:6" x14ac:dyDescent="0.25">
      <c r="A67">
        <v>3</v>
      </c>
      <c r="B67">
        <v>22</v>
      </c>
      <c r="C67" t="s">
        <v>93</v>
      </c>
      <c r="D67" t="s">
        <v>96</v>
      </c>
      <c r="E67" t="s">
        <v>94</v>
      </c>
      <c r="F67">
        <v>1</v>
      </c>
    </row>
    <row r="68" spans="1:6" x14ac:dyDescent="0.25">
      <c r="A68">
        <v>1</v>
      </c>
      <c r="B68">
        <v>23</v>
      </c>
      <c r="C68" t="s">
        <v>93</v>
      </c>
      <c r="D68" t="s">
        <v>45</v>
      </c>
      <c r="E68" t="s">
        <v>94</v>
      </c>
      <c r="F68">
        <v>1</v>
      </c>
    </row>
    <row r="69" spans="1:6" x14ac:dyDescent="0.25">
      <c r="A69">
        <v>1</v>
      </c>
      <c r="B69">
        <v>24</v>
      </c>
      <c r="C69" t="s">
        <v>93</v>
      </c>
      <c r="D69" t="s">
        <v>45</v>
      </c>
      <c r="E69" t="s">
        <v>94</v>
      </c>
      <c r="F69">
        <v>1</v>
      </c>
    </row>
    <row r="70" spans="1:6" x14ac:dyDescent="0.25">
      <c r="A70">
        <v>2</v>
      </c>
      <c r="B70">
        <v>24</v>
      </c>
      <c r="C70" t="s">
        <v>93</v>
      </c>
      <c r="D70" t="s">
        <v>20</v>
      </c>
      <c r="E70" t="s">
        <v>94</v>
      </c>
      <c r="F70">
        <v>1</v>
      </c>
    </row>
    <row r="71" spans="1:6" x14ac:dyDescent="0.25">
      <c r="A71">
        <v>3</v>
      </c>
      <c r="B71">
        <v>24</v>
      </c>
      <c r="C71" t="s">
        <v>93</v>
      </c>
      <c r="D71" t="s">
        <v>45</v>
      </c>
      <c r="E71" t="s">
        <v>94</v>
      </c>
      <c r="F71">
        <v>1</v>
      </c>
    </row>
    <row r="72" spans="1:6" x14ac:dyDescent="0.25">
      <c r="A72">
        <v>4</v>
      </c>
      <c r="B72">
        <v>24</v>
      </c>
      <c r="C72" t="s">
        <v>93</v>
      </c>
      <c r="D72" t="s">
        <v>96</v>
      </c>
      <c r="E72" t="s">
        <v>94</v>
      </c>
      <c r="F72">
        <v>1</v>
      </c>
    </row>
    <row r="73" spans="1:6" x14ac:dyDescent="0.25">
      <c r="A73">
        <v>1</v>
      </c>
      <c r="B73">
        <v>25</v>
      </c>
      <c r="C73" t="s">
        <v>93</v>
      </c>
      <c r="D73" t="s">
        <v>39</v>
      </c>
      <c r="E73" t="s">
        <v>94</v>
      </c>
      <c r="F73">
        <v>1</v>
      </c>
    </row>
    <row r="74" spans="1:6" x14ac:dyDescent="0.25">
      <c r="A74">
        <v>2</v>
      </c>
      <c r="B74">
        <v>25</v>
      </c>
      <c r="C74" t="s">
        <v>93</v>
      </c>
      <c r="D74" t="s">
        <v>96</v>
      </c>
      <c r="E74" t="s">
        <v>94</v>
      </c>
      <c r="F74">
        <v>1</v>
      </c>
    </row>
    <row r="75" spans="1:6" x14ac:dyDescent="0.25">
      <c r="A75">
        <v>1</v>
      </c>
      <c r="B75">
        <v>26</v>
      </c>
      <c r="C75" t="s">
        <v>98</v>
      </c>
      <c r="D75" t="s">
        <v>20</v>
      </c>
      <c r="E75" t="s">
        <v>99</v>
      </c>
      <c r="F75">
        <v>1</v>
      </c>
    </row>
    <row r="76" spans="1:6" x14ac:dyDescent="0.25">
      <c r="A76">
        <v>2</v>
      </c>
      <c r="B76">
        <v>26</v>
      </c>
      <c r="C76" t="s">
        <v>98</v>
      </c>
      <c r="D76" t="s">
        <v>30</v>
      </c>
      <c r="E76" t="s">
        <v>99</v>
      </c>
      <c r="F76">
        <v>1</v>
      </c>
    </row>
    <row r="77" spans="1:6" x14ac:dyDescent="0.25">
      <c r="A77">
        <v>1</v>
      </c>
      <c r="B77">
        <v>27</v>
      </c>
      <c r="C77" t="s">
        <v>100</v>
      </c>
      <c r="D77" t="s">
        <v>20</v>
      </c>
      <c r="E77" t="s">
        <v>101</v>
      </c>
      <c r="F77">
        <v>1</v>
      </c>
    </row>
    <row r="78" spans="1:6" x14ac:dyDescent="0.25">
      <c r="A78">
        <v>2</v>
      </c>
      <c r="B78">
        <v>27</v>
      </c>
      <c r="C78" t="s">
        <v>100</v>
      </c>
      <c r="D78" t="s">
        <v>38</v>
      </c>
      <c r="E78" t="s">
        <v>101</v>
      </c>
      <c r="F78">
        <v>1</v>
      </c>
    </row>
    <row r="79" spans="1:6" x14ac:dyDescent="0.25">
      <c r="A79">
        <v>1</v>
      </c>
      <c r="B79">
        <v>28</v>
      </c>
      <c r="C79" t="s">
        <v>102</v>
      </c>
      <c r="D79" t="s">
        <v>20</v>
      </c>
      <c r="E79" t="s">
        <v>103</v>
      </c>
      <c r="F79">
        <v>1</v>
      </c>
    </row>
    <row r="80" spans="1:6" x14ac:dyDescent="0.25">
      <c r="A80">
        <v>2</v>
      </c>
      <c r="B80">
        <v>28</v>
      </c>
      <c r="C80" t="s">
        <v>102</v>
      </c>
      <c r="D80" t="s">
        <v>38</v>
      </c>
      <c r="E80" t="s">
        <v>103</v>
      </c>
      <c r="F80">
        <v>1</v>
      </c>
    </row>
    <row r="81" spans="1:6" x14ac:dyDescent="0.25">
      <c r="A81">
        <v>1</v>
      </c>
      <c r="B81">
        <v>29</v>
      </c>
      <c r="C81" t="s">
        <v>104</v>
      </c>
      <c r="D81" t="s">
        <v>20</v>
      </c>
      <c r="E81" t="s">
        <v>105</v>
      </c>
      <c r="F81">
        <v>1</v>
      </c>
    </row>
    <row r="82" spans="1:6" x14ac:dyDescent="0.25">
      <c r="A82">
        <v>2</v>
      </c>
      <c r="B82">
        <v>29</v>
      </c>
      <c r="C82" t="s">
        <v>104</v>
      </c>
      <c r="D82" t="s">
        <v>38</v>
      </c>
      <c r="E82" t="s">
        <v>105</v>
      </c>
      <c r="F82">
        <v>1</v>
      </c>
    </row>
    <row r="83" spans="1:6" x14ac:dyDescent="0.25">
      <c r="A83">
        <v>1</v>
      </c>
      <c r="B83">
        <v>30</v>
      </c>
      <c r="C83" t="s">
        <v>106</v>
      </c>
      <c r="D83" t="s">
        <v>20</v>
      </c>
      <c r="E83" t="s">
        <v>107</v>
      </c>
      <c r="F83">
        <v>4</v>
      </c>
    </row>
    <row r="84" spans="1:6" x14ac:dyDescent="0.25">
      <c r="A84">
        <v>2</v>
      </c>
      <c r="B84">
        <v>30</v>
      </c>
      <c r="C84" t="s">
        <v>106</v>
      </c>
      <c r="D84" t="s">
        <v>30</v>
      </c>
      <c r="E84" t="s">
        <v>107</v>
      </c>
      <c r="F84">
        <v>4</v>
      </c>
    </row>
    <row r="85" spans="1:6" x14ac:dyDescent="0.25">
      <c r="A85">
        <v>1</v>
      </c>
      <c r="B85">
        <v>31</v>
      </c>
      <c r="C85" t="s">
        <v>108</v>
      </c>
      <c r="D85" t="s">
        <v>20</v>
      </c>
      <c r="E85" t="s">
        <v>109</v>
      </c>
      <c r="F85">
        <v>1</v>
      </c>
    </row>
    <row r="86" spans="1:6" x14ac:dyDescent="0.25">
      <c r="A86">
        <v>2</v>
      </c>
      <c r="B86">
        <v>31</v>
      </c>
      <c r="C86" t="s">
        <v>108</v>
      </c>
      <c r="D86" t="s">
        <v>30</v>
      </c>
      <c r="E86" t="s">
        <v>109</v>
      </c>
      <c r="F86">
        <v>1</v>
      </c>
    </row>
    <row r="87" spans="1:6" x14ac:dyDescent="0.25">
      <c r="A87">
        <v>3</v>
      </c>
      <c r="B87">
        <v>31</v>
      </c>
      <c r="C87" t="s">
        <v>108</v>
      </c>
      <c r="D87" t="s">
        <v>20</v>
      </c>
      <c r="E87" t="s">
        <v>109</v>
      </c>
      <c r="F87">
        <v>1</v>
      </c>
    </row>
    <row r="88" spans="1:6" x14ac:dyDescent="0.25">
      <c r="A88">
        <v>4</v>
      </c>
      <c r="B88">
        <v>31</v>
      </c>
      <c r="C88" t="s">
        <v>108</v>
      </c>
      <c r="D88" t="s">
        <v>30</v>
      </c>
      <c r="E88" t="s">
        <v>109</v>
      </c>
      <c r="F88">
        <v>1</v>
      </c>
    </row>
    <row r="89" spans="1:6" x14ac:dyDescent="0.25">
      <c r="A89">
        <v>1</v>
      </c>
      <c r="B89">
        <v>32</v>
      </c>
      <c r="C89" t="s">
        <v>110</v>
      </c>
      <c r="D89" t="s">
        <v>20</v>
      </c>
      <c r="E89" t="s">
        <v>111</v>
      </c>
      <c r="F89">
        <v>4</v>
      </c>
    </row>
    <row r="90" spans="1:6" x14ac:dyDescent="0.25">
      <c r="A90">
        <v>2</v>
      </c>
      <c r="B90">
        <v>32</v>
      </c>
      <c r="C90" t="s">
        <v>110</v>
      </c>
      <c r="D90" t="s">
        <v>30</v>
      </c>
      <c r="E90" t="s">
        <v>111</v>
      </c>
      <c r="F90">
        <v>4</v>
      </c>
    </row>
    <row r="91" spans="1:6" x14ac:dyDescent="0.25">
      <c r="A91">
        <v>1</v>
      </c>
      <c r="B91">
        <v>33</v>
      </c>
      <c r="C91" t="s">
        <v>110</v>
      </c>
      <c r="D91" t="s">
        <v>20</v>
      </c>
      <c r="E91" t="s">
        <v>111</v>
      </c>
      <c r="F91">
        <v>1</v>
      </c>
    </row>
    <row r="92" spans="1:6" x14ac:dyDescent="0.25">
      <c r="A92">
        <v>2</v>
      </c>
      <c r="B92">
        <v>33</v>
      </c>
      <c r="C92" t="s">
        <v>110</v>
      </c>
      <c r="D92" t="s">
        <v>30</v>
      </c>
      <c r="E92" t="s">
        <v>111</v>
      </c>
      <c r="F92">
        <v>1</v>
      </c>
    </row>
    <row r="93" spans="1:6" x14ac:dyDescent="0.25">
      <c r="A93">
        <v>1</v>
      </c>
      <c r="B93">
        <v>34</v>
      </c>
      <c r="C93" t="s">
        <v>112</v>
      </c>
      <c r="D93" t="s">
        <v>20</v>
      </c>
      <c r="E93" t="s">
        <v>113</v>
      </c>
      <c r="F93">
        <v>1</v>
      </c>
    </row>
    <row r="94" spans="1:6" x14ac:dyDescent="0.25">
      <c r="A94">
        <v>2</v>
      </c>
      <c r="B94">
        <v>34</v>
      </c>
      <c r="C94" t="s">
        <v>112</v>
      </c>
      <c r="D94" t="s">
        <v>30</v>
      </c>
      <c r="E94" t="s">
        <v>113</v>
      </c>
      <c r="F94">
        <v>1</v>
      </c>
    </row>
    <row r="95" spans="1:6" x14ac:dyDescent="0.25">
      <c r="A95">
        <v>1</v>
      </c>
      <c r="B95">
        <v>35</v>
      </c>
      <c r="C95" t="s">
        <v>114</v>
      </c>
      <c r="D95" t="s">
        <v>20</v>
      </c>
      <c r="E95" t="s">
        <v>115</v>
      </c>
      <c r="F95">
        <v>1</v>
      </c>
    </row>
    <row r="96" spans="1:6" x14ac:dyDescent="0.25">
      <c r="A96">
        <v>2</v>
      </c>
      <c r="B96">
        <v>35</v>
      </c>
      <c r="C96" t="s">
        <v>114</v>
      </c>
      <c r="D96" t="s">
        <v>38</v>
      </c>
      <c r="E96" t="s">
        <v>115</v>
      </c>
      <c r="F96">
        <v>1</v>
      </c>
    </row>
    <row r="97" spans="1:6" x14ac:dyDescent="0.25">
      <c r="A97">
        <v>1</v>
      </c>
      <c r="B97">
        <v>36</v>
      </c>
      <c r="C97" t="s">
        <v>116</v>
      </c>
      <c r="D97" t="s">
        <v>97</v>
      </c>
      <c r="E97" t="s">
        <v>82</v>
      </c>
      <c r="F97">
        <v>321</v>
      </c>
    </row>
    <row r="98" spans="1:6" x14ac:dyDescent="0.25">
      <c r="A98">
        <v>2</v>
      </c>
      <c r="B98">
        <v>36</v>
      </c>
      <c r="C98" t="s">
        <v>116</v>
      </c>
      <c r="D98" t="s">
        <v>45</v>
      </c>
      <c r="E98" t="s">
        <v>82</v>
      </c>
      <c r="F98">
        <v>321</v>
      </c>
    </row>
    <row r="99" spans="1:6" x14ac:dyDescent="0.25">
      <c r="A99">
        <v>1</v>
      </c>
      <c r="B99">
        <v>37</v>
      </c>
      <c r="C99" t="s">
        <v>116</v>
      </c>
      <c r="D99" t="s">
        <v>97</v>
      </c>
      <c r="E99" t="s">
        <v>82</v>
      </c>
      <c r="F99">
        <v>4</v>
      </c>
    </row>
    <row r="100" spans="1:6" x14ac:dyDescent="0.25">
      <c r="A100">
        <v>2</v>
      </c>
      <c r="B100">
        <v>37</v>
      </c>
      <c r="C100" t="s">
        <v>116</v>
      </c>
      <c r="D100" t="s">
        <v>45</v>
      </c>
      <c r="E100" t="s">
        <v>82</v>
      </c>
      <c r="F100">
        <v>4</v>
      </c>
    </row>
    <row r="101" spans="1:6" x14ac:dyDescent="0.25">
      <c r="A101">
        <v>1</v>
      </c>
      <c r="B101">
        <v>38</v>
      </c>
      <c r="C101" t="s">
        <v>116</v>
      </c>
      <c r="D101" t="s">
        <v>45</v>
      </c>
      <c r="E101" t="s">
        <v>82</v>
      </c>
      <c r="F101">
        <v>4</v>
      </c>
    </row>
    <row r="102" spans="1:6" x14ac:dyDescent="0.25">
      <c r="A102">
        <v>2</v>
      </c>
      <c r="B102">
        <v>38</v>
      </c>
      <c r="C102" t="s">
        <v>116</v>
      </c>
      <c r="D102" t="s">
        <v>97</v>
      </c>
      <c r="E102" t="s">
        <v>82</v>
      </c>
      <c r="F102">
        <v>4</v>
      </c>
    </row>
    <row r="103" spans="1:6" x14ac:dyDescent="0.25">
      <c r="A103">
        <v>1</v>
      </c>
      <c r="B103">
        <v>39</v>
      </c>
      <c r="C103" t="s">
        <v>116</v>
      </c>
      <c r="D103" t="s">
        <v>97</v>
      </c>
      <c r="E103" t="s">
        <v>82</v>
      </c>
      <c r="F103">
        <v>2</v>
      </c>
    </row>
    <row r="104" spans="1:6" x14ac:dyDescent="0.25">
      <c r="A104">
        <v>2</v>
      </c>
      <c r="B104">
        <v>39</v>
      </c>
      <c r="C104" t="s">
        <v>116</v>
      </c>
      <c r="D104" t="s">
        <v>45</v>
      </c>
      <c r="E104" t="s">
        <v>82</v>
      </c>
      <c r="F104">
        <v>2</v>
      </c>
    </row>
    <row r="105" spans="1:6" x14ac:dyDescent="0.25">
      <c r="A105">
        <v>3</v>
      </c>
      <c r="B105">
        <v>39</v>
      </c>
      <c r="C105" t="s">
        <v>116</v>
      </c>
      <c r="D105" t="s">
        <v>97</v>
      </c>
      <c r="E105" t="s">
        <v>82</v>
      </c>
      <c r="F105">
        <v>2</v>
      </c>
    </row>
    <row r="106" spans="1:6" x14ac:dyDescent="0.25">
      <c r="A106">
        <v>4</v>
      </c>
      <c r="B106">
        <v>39</v>
      </c>
      <c r="C106" t="s">
        <v>116</v>
      </c>
      <c r="D106" t="s">
        <v>45</v>
      </c>
      <c r="E106" t="s">
        <v>82</v>
      </c>
      <c r="F106">
        <v>2</v>
      </c>
    </row>
    <row r="107" spans="1:6" x14ac:dyDescent="0.25">
      <c r="A107">
        <v>1</v>
      </c>
      <c r="B107">
        <v>40</v>
      </c>
      <c r="C107" t="s">
        <v>116</v>
      </c>
      <c r="D107" t="s">
        <v>97</v>
      </c>
      <c r="E107" t="s">
        <v>82</v>
      </c>
      <c r="F107">
        <v>1</v>
      </c>
    </row>
    <row r="108" spans="1:6" x14ac:dyDescent="0.25">
      <c r="A108">
        <v>1</v>
      </c>
      <c r="B108">
        <v>41</v>
      </c>
      <c r="C108" t="s">
        <v>117</v>
      </c>
      <c r="D108" t="s">
        <v>20</v>
      </c>
      <c r="E108" t="s">
        <v>118</v>
      </c>
      <c r="F108">
        <v>1</v>
      </c>
    </row>
    <row r="109" spans="1:6" x14ac:dyDescent="0.25">
      <c r="A109">
        <v>2</v>
      </c>
      <c r="B109">
        <v>41</v>
      </c>
      <c r="C109" t="s">
        <v>117</v>
      </c>
      <c r="D109" t="s">
        <v>38</v>
      </c>
      <c r="E109" t="s">
        <v>118</v>
      </c>
      <c r="F109">
        <v>1</v>
      </c>
    </row>
    <row r="110" spans="1:6" x14ac:dyDescent="0.25">
      <c r="A110">
        <v>1</v>
      </c>
      <c r="B110">
        <v>42</v>
      </c>
      <c r="C110" t="s">
        <v>119</v>
      </c>
      <c r="D110" t="s">
        <v>20</v>
      </c>
      <c r="E110" t="s">
        <v>120</v>
      </c>
      <c r="F110">
        <v>1</v>
      </c>
    </row>
    <row r="111" spans="1:6" x14ac:dyDescent="0.25">
      <c r="A111">
        <v>2</v>
      </c>
      <c r="B111">
        <v>42</v>
      </c>
      <c r="C111" t="s">
        <v>119</v>
      </c>
      <c r="D111" t="s">
        <v>30</v>
      </c>
      <c r="E111" t="s">
        <v>120</v>
      </c>
      <c r="F111">
        <v>1</v>
      </c>
    </row>
    <row r="112" spans="1:6" x14ac:dyDescent="0.25">
      <c r="A112">
        <v>1</v>
      </c>
      <c r="B112">
        <v>43</v>
      </c>
      <c r="C112" t="s">
        <v>121</v>
      </c>
      <c r="D112" t="s">
        <v>20</v>
      </c>
      <c r="E112" t="s">
        <v>122</v>
      </c>
      <c r="F112">
        <v>18</v>
      </c>
    </row>
    <row r="113" spans="1:6" x14ac:dyDescent="0.25">
      <c r="A113">
        <v>2</v>
      </c>
      <c r="B113">
        <v>43</v>
      </c>
      <c r="C113" t="s">
        <v>121</v>
      </c>
      <c r="D113" t="s">
        <v>37</v>
      </c>
      <c r="E113" t="s">
        <v>122</v>
      </c>
      <c r="F113">
        <v>18</v>
      </c>
    </row>
    <row r="114" spans="1:6" x14ac:dyDescent="0.25">
      <c r="A114">
        <v>1</v>
      </c>
      <c r="B114">
        <v>44</v>
      </c>
      <c r="C114" t="s">
        <v>121</v>
      </c>
      <c r="D114" t="s">
        <v>20</v>
      </c>
      <c r="E114" t="s">
        <v>122</v>
      </c>
      <c r="F114">
        <v>16</v>
      </c>
    </row>
    <row r="115" spans="1:6" x14ac:dyDescent="0.25">
      <c r="A115">
        <v>2</v>
      </c>
      <c r="B115">
        <v>44</v>
      </c>
      <c r="C115" t="s">
        <v>121</v>
      </c>
      <c r="D115" t="s">
        <v>95</v>
      </c>
      <c r="E115" t="s">
        <v>122</v>
      </c>
      <c r="F115">
        <v>16</v>
      </c>
    </row>
    <row r="116" spans="1:6" x14ac:dyDescent="0.25">
      <c r="A116">
        <v>1</v>
      </c>
      <c r="B116">
        <v>45</v>
      </c>
      <c r="C116" t="s">
        <v>121</v>
      </c>
      <c r="D116" t="s">
        <v>20</v>
      </c>
      <c r="E116" t="s">
        <v>122</v>
      </c>
      <c r="F116">
        <v>6</v>
      </c>
    </row>
    <row r="117" spans="1:6" x14ac:dyDescent="0.25">
      <c r="A117">
        <v>2</v>
      </c>
      <c r="B117">
        <v>45</v>
      </c>
      <c r="C117" t="s">
        <v>121</v>
      </c>
      <c r="D117" t="s">
        <v>45</v>
      </c>
      <c r="E117" t="s">
        <v>122</v>
      </c>
      <c r="F117">
        <v>6</v>
      </c>
    </row>
    <row r="118" spans="1:6" x14ac:dyDescent="0.25">
      <c r="A118">
        <v>3</v>
      </c>
      <c r="B118">
        <v>45</v>
      </c>
      <c r="C118" t="s">
        <v>121</v>
      </c>
      <c r="D118" t="s">
        <v>96</v>
      </c>
      <c r="E118" t="s">
        <v>122</v>
      </c>
      <c r="F118">
        <v>6</v>
      </c>
    </row>
    <row r="119" spans="1:6" x14ac:dyDescent="0.25">
      <c r="A119">
        <v>1</v>
      </c>
      <c r="B119">
        <v>46</v>
      </c>
      <c r="C119" t="s">
        <v>121</v>
      </c>
      <c r="D119" t="s">
        <v>20</v>
      </c>
      <c r="E119" t="s">
        <v>122</v>
      </c>
      <c r="F119">
        <v>5</v>
      </c>
    </row>
    <row r="120" spans="1:6" x14ac:dyDescent="0.25">
      <c r="A120">
        <v>2</v>
      </c>
      <c r="B120">
        <v>46</v>
      </c>
      <c r="C120" t="s">
        <v>121</v>
      </c>
      <c r="D120" t="s">
        <v>45</v>
      </c>
      <c r="E120" t="s">
        <v>122</v>
      </c>
      <c r="F120">
        <v>5</v>
      </c>
    </row>
    <row r="121" spans="1:6" x14ac:dyDescent="0.25">
      <c r="A121">
        <v>1</v>
      </c>
      <c r="B121">
        <v>47</v>
      </c>
      <c r="C121" t="s">
        <v>121</v>
      </c>
      <c r="D121" t="s">
        <v>20</v>
      </c>
      <c r="E121" t="s">
        <v>122</v>
      </c>
      <c r="F121">
        <v>4</v>
      </c>
    </row>
    <row r="122" spans="1:6" x14ac:dyDescent="0.25">
      <c r="A122">
        <v>2</v>
      </c>
      <c r="B122">
        <v>47</v>
      </c>
      <c r="C122" t="s">
        <v>121</v>
      </c>
      <c r="D122" t="s">
        <v>30</v>
      </c>
      <c r="E122" t="s">
        <v>122</v>
      </c>
      <c r="F122">
        <v>4</v>
      </c>
    </row>
    <row r="123" spans="1:6" x14ac:dyDescent="0.25">
      <c r="A123">
        <v>3</v>
      </c>
      <c r="B123">
        <v>47</v>
      </c>
      <c r="C123" t="s">
        <v>121</v>
      </c>
      <c r="D123" t="s">
        <v>45</v>
      </c>
      <c r="E123" t="s">
        <v>122</v>
      </c>
      <c r="F123">
        <v>4</v>
      </c>
    </row>
    <row r="124" spans="1:6" x14ac:dyDescent="0.25">
      <c r="A124">
        <v>1</v>
      </c>
      <c r="B124">
        <v>48</v>
      </c>
      <c r="C124" t="s">
        <v>121</v>
      </c>
      <c r="D124" t="s">
        <v>20</v>
      </c>
      <c r="E124" t="s">
        <v>122</v>
      </c>
      <c r="F124">
        <v>3</v>
      </c>
    </row>
    <row r="125" spans="1:6" x14ac:dyDescent="0.25">
      <c r="A125">
        <v>2</v>
      </c>
      <c r="B125">
        <v>48</v>
      </c>
      <c r="C125" t="s">
        <v>121</v>
      </c>
      <c r="D125" t="s">
        <v>39</v>
      </c>
      <c r="E125" t="s">
        <v>122</v>
      </c>
      <c r="F125">
        <v>3</v>
      </c>
    </row>
    <row r="126" spans="1:6" x14ac:dyDescent="0.25">
      <c r="A126">
        <v>1</v>
      </c>
      <c r="B126">
        <v>49</v>
      </c>
      <c r="C126" t="s">
        <v>121</v>
      </c>
      <c r="D126" t="s">
        <v>20</v>
      </c>
      <c r="E126" t="s">
        <v>122</v>
      </c>
      <c r="F126">
        <v>3</v>
      </c>
    </row>
    <row r="127" spans="1:6" x14ac:dyDescent="0.25">
      <c r="A127">
        <v>2</v>
      </c>
      <c r="B127">
        <v>49</v>
      </c>
      <c r="C127" t="s">
        <v>121</v>
      </c>
      <c r="D127" t="s">
        <v>39</v>
      </c>
      <c r="E127" t="s">
        <v>122</v>
      </c>
      <c r="F127">
        <v>3</v>
      </c>
    </row>
    <row r="128" spans="1:6" x14ac:dyDescent="0.25">
      <c r="A128">
        <v>3</v>
      </c>
      <c r="B128">
        <v>49</v>
      </c>
      <c r="C128" t="s">
        <v>121</v>
      </c>
      <c r="D128" t="s">
        <v>45</v>
      </c>
      <c r="E128" t="s">
        <v>122</v>
      </c>
      <c r="F128">
        <v>3</v>
      </c>
    </row>
    <row r="129" spans="1:6" x14ac:dyDescent="0.25">
      <c r="A129">
        <v>1</v>
      </c>
      <c r="B129">
        <v>50</v>
      </c>
      <c r="C129" t="s">
        <v>121</v>
      </c>
      <c r="D129" t="s">
        <v>20</v>
      </c>
      <c r="E129" t="s">
        <v>122</v>
      </c>
      <c r="F129">
        <v>2</v>
      </c>
    </row>
    <row r="130" spans="1:6" x14ac:dyDescent="0.25">
      <c r="A130">
        <v>2</v>
      </c>
      <c r="B130">
        <v>50</v>
      </c>
      <c r="C130" t="s">
        <v>121</v>
      </c>
      <c r="D130" t="s">
        <v>30</v>
      </c>
      <c r="E130" t="s">
        <v>122</v>
      </c>
      <c r="F130">
        <v>2</v>
      </c>
    </row>
    <row r="131" spans="1:6" x14ac:dyDescent="0.25">
      <c r="A131">
        <v>3</v>
      </c>
      <c r="B131">
        <v>50</v>
      </c>
      <c r="C131" t="s">
        <v>121</v>
      </c>
      <c r="D131" t="s">
        <v>45</v>
      </c>
      <c r="E131" t="s">
        <v>122</v>
      </c>
      <c r="F131">
        <v>2</v>
      </c>
    </row>
    <row r="132" spans="1:6" x14ac:dyDescent="0.25">
      <c r="A132">
        <v>4</v>
      </c>
      <c r="B132">
        <v>50</v>
      </c>
      <c r="C132" t="s">
        <v>121</v>
      </c>
      <c r="D132" t="s">
        <v>97</v>
      </c>
      <c r="E132" t="s">
        <v>122</v>
      </c>
      <c r="F132">
        <v>2</v>
      </c>
    </row>
    <row r="133" spans="1:6" x14ac:dyDescent="0.25">
      <c r="A133">
        <v>5</v>
      </c>
      <c r="B133">
        <v>50</v>
      </c>
      <c r="C133" t="s">
        <v>121</v>
      </c>
      <c r="D133" t="s">
        <v>96</v>
      </c>
      <c r="E133" t="s">
        <v>122</v>
      </c>
      <c r="F133">
        <v>2</v>
      </c>
    </row>
    <row r="134" spans="1:6" x14ac:dyDescent="0.25">
      <c r="A134">
        <v>1</v>
      </c>
      <c r="B134">
        <v>51</v>
      </c>
      <c r="C134" t="s">
        <v>121</v>
      </c>
      <c r="D134" t="s">
        <v>20</v>
      </c>
      <c r="E134" t="s">
        <v>122</v>
      </c>
      <c r="F134">
        <v>2</v>
      </c>
    </row>
    <row r="135" spans="1:6" x14ac:dyDescent="0.25">
      <c r="A135">
        <v>2</v>
      </c>
      <c r="B135">
        <v>51</v>
      </c>
      <c r="C135" t="s">
        <v>121</v>
      </c>
      <c r="D135" t="s">
        <v>45</v>
      </c>
      <c r="E135" t="s">
        <v>122</v>
      </c>
      <c r="F135">
        <v>2</v>
      </c>
    </row>
    <row r="136" spans="1:6" x14ac:dyDescent="0.25">
      <c r="A136">
        <v>3</v>
      </c>
      <c r="B136">
        <v>51</v>
      </c>
      <c r="C136" t="s">
        <v>121</v>
      </c>
      <c r="D136" t="s">
        <v>39</v>
      </c>
      <c r="E136" t="s">
        <v>122</v>
      </c>
      <c r="F136">
        <v>2</v>
      </c>
    </row>
    <row r="137" spans="1:6" x14ac:dyDescent="0.25">
      <c r="A137">
        <v>1</v>
      </c>
      <c r="B137">
        <v>52</v>
      </c>
      <c r="C137" t="s">
        <v>121</v>
      </c>
      <c r="D137" t="s">
        <v>20</v>
      </c>
      <c r="E137" t="s">
        <v>122</v>
      </c>
      <c r="F137">
        <v>2</v>
      </c>
    </row>
    <row r="138" spans="1:6" x14ac:dyDescent="0.25">
      <c r="A138">
        <v>2</v>
      </c>
      <c r="B138">
        <v>52</v>
      </c>
      <c r="C138" t="s">
        <v>121</v>
      </c>
      <c r="D138" t="s">
        <v>95</v>
      </c>
      <c r="E138" t="s">
        <v>122</v>
      </c>
      <c r="F138">
        <v>2</v>
      </c>
    </row>
    <row r="139" spans="1:6" x14ac:dyDescent="0.25">
      <c r="A139">
        <v>3</v>
      </c>
      <c r="B139">
        <v>52</v>
      </c>
      <c r="C139" t="s">
        <v>121</v>
      </c>
      <c r="D139" t="s">
        <v>45</v>
      </c>
      <c r="E139" t="s">
        <v>122</v>
      </c>
      <c r="F139">
        <v>2</v>
      </c>
    </row>
    <row r="140" spans="1:6" x14ac:dyDescent="0.25">
      <c r="A140">
        <v>1</v>
      </c>
      <c r="B140">
        <v>53</v>
      </c>
      <c r="C140" t="s">
        <v>121</v>
      </c>
      <c r="D140" t="s">
        <v>95</v>
      </c>
      <c r="E140" t="s">
        <v>122</v>
      </c>
      <c r="F140">
        <v>2</v>
      </c>
    </row>
    <row r="141" spans="1:6" x14ac:dyDescent="0.25">
      <c r="A141">
        <v>2</v>
      </c>
      <c r="B141">
        <v>53</v>
      </c>
      <c r="C141" t="s">
        <v>121</v>
      </c>
      <c r="D141" t="s">
        <v>20</v>
      </c>
      <c r="E141" t="s">
        <v>122</v>
      </c>
      <c r="F141">
        <v>2</v>
      </c>
    </row>
    <row r="142" spans="1:6" x14ac:dyDescent="0.25">
      <c r="A142">
        <v>1</v>
      </c>
      <c r="B142">
        <v>54</v>
      </c>
      <c r="C142" t="s">
        <v>121</v>
      </c>
      <c r="D142" t="s">
        <v>97</v>
      </c>
      <c r="E142" t="s">
        <v>122</v>
      </c>
      <c r="F142">
        <v>1</v>
      </c>
    </row>
    <row r="143" spans="1:6" x14ac:dyDescent="0.25">
      <c r="A143">
        <v>2</v>
      </c>
      <c r="B143">
        <v>54</v>
      </c>
      <c r="C143" t="s">
        <v>121</v>
      </c>
      <c r="D143" t="s">
        <v>45</v>
      </c>
      <c r="E143" t="s">
        <v>122</v>
      </c>
      <c r="F143">
        <v>1</v>
      </c>
    </row>
    <row r="144" spans="1:6" x14ac:dyDescent="0.25">
      <c r="A144">
        <v>1</v>
      </c>
      <c r="B144">
        <v>55</v>
      </c>
      <c r="C144" t="s">
        <v>121</v>
      </c>
      <c r="D144" t="s">
        <v>97</v>
      </c>
      <c r="E144" t="s">
        <v>122</v>
      </c>
      <c r="F144">
        <v>1</v>
      </c>
    </row>
    <row r="145" spans="1:6" x14ac:dyDescent="0.25">
      <c r="A145">
        <v>2</v>
      </c>
      <c r="B145">
        <v>55</v>
      </c>
      <c r="C145" t="s">
        <v>121</v>
      </c>
      <c r="D145" t="s">
        <v>37</v>
      </c>
      <c r="E145" t="s">
        <v>122</v>
      </c>
      <c r="F145">
        <v>1</v>
      </c>
    </row>
    <row r="146" spans="1:6" x14ac:dyDescent="0.25">
      <c r="A146">
        <v>1</v>
      </c>
      <c r="B146">
        <v>56</v>
      </c>
      <c r="C146" t="s">
        <v>121</v>
      </c>
      <c r="D146" t="s">
        <v>20</v>
      </c>
      <c r="E146" t="s">
        <v>122</v>
      </c>
      <c r="F146">
        <v>1</v>
      </c>
    </row>
    <row r="147" spans="1:6" x14ac:dyDescent="0.25">
      <c r="A147">
        <v>2</v>
      </c>
      <c r="B147">
        <v>56</v>
      </c>
      <c r="C147" t="s">
        <v>121</v>
      </c>
      <c r="D147" t="s">
        <v>30</v>
      </c>
      <c r="E147" t="s">
        <v>122</v>
      </c>
      <c r="F147">
        <v>1</v>
      </c>
    </row>
    <row r="148" spans="1:6" x14ac:dyDescent="0.25">
      <c r="A148">
        <v>3</v>
      </c>
      <c r="B148">
        <v>56</v>
      </c>
      <c r="C148" t="s">
        <v>121</v>
      </c>
      <c r="D148" t="s">
        <v>45</v>
      </c>
      <c r="E148" t="s">
        <v>122</v>
      </c>
      <c r="F148">
        <v>1</v>
      </c>
    </row>
    <row r="149" spans="1:6" x14ac:dyDescent="0.25">
      <c r="A149">
        <v>4</v>
      </c>
      <c r="B149">
        <v>56</v>
      </c>
      <c r="C149" t="s">
        <v>121</v>
      </c>
      <c r="D149" t="s">
        <v>96</v>
      </c>
      <c r="E149" t="s">
        <v>122</v>
      </c>
      <c r="F149">
        <v>1</v>
      </c>
    </row>
    <row r="150" spans="1:6" x14ac:dyDescent="0.25">
      <c r="A150">
        <v>1</v>
      </c>
      <c r="B150">
        <v>57</v>
      </c>
      <c r="C150" t="s">
        <v>121</v>
      </c>
      <c r="D150" t="s">
        <v>20</v>
      </c>
      <c r="E150" t="s">
        <v>122</v>
      </c>
      <c r="F150">
        <v>1</v>
      </c>
    </row>
    <row r="151" spans="1:6" x14ac:dyDescent="0.25">
      <c r="A151">
        <v>2</v>
      </c>
      <c r="B151">
        <v>57</v>
      </c>
      <c r="C151" t="s">
        <v>121</v>
      </c>
      <c r="D151" t="s">
        <v>30</v>
      </c>
      <c r="E151" t="s">
        <v>122</v>
      </c>
      <c r="F151">
        <v>1</v>
      </c>
    </row>
    <row r="152" spans="1:6" x14ac:dyDescent="0.25">
      <c r="A152">
        <v>3</v>
      </c>
      <c r="B152">
        <v>57</v>
      </c>
      <c r="C152" t="s">
        <v>121</v>
      </c>
      <c r="D152" t="s">
        <v>39</v>
      </c>
      <c r="E152" t="s">
        <v>122</v>
      </c>
      <c r="F152">
        <v>1</v>
      </c>
    </row>
    <row r="153" spans="1:6" x14ac:dyDescent="0.25">
      <c r="A153">
        <v>1</v>
      </c>
      <c r="B153">
        <v>58</v>
      </c>
      <c r="C153" t="s">
        <v>121</v>
      </c>
      <c r="D153" t="s">
        <v>20</v>
      </c>
      <c r="E153" t="s">
        <v>122</v>
      </c>
      <c r="F153">
        <v>1</v>
      </c>
    </row>
    <row r="154" spans="1:6" x14ac:dyDescent="0.25">
      <c r="A154">
        <v>2</v>
      </c>
      <c r="B154">
        <v>58</v>
      </c>
      <c r="C154" t="s">
        <v>121</v>
      </c>
      <c r="D154" t="s">
        <v>30</v>
      </c>
      <c r="E154" t="s">
        <v>122</v>
      </c>
      <c r="F154">
        <v>1</v>
      </c>
    </row>
    <row r="155" spans="1:6" x14ac:dyDescent="0.25">
      <c r="A155">
        <v>3</v>
      </c>
      <c r="B155">
        <v>58</v>
      </c>
      <c r="C155" t="s">
        <v>121</v>
      </c>
      <c r="D155" t="s">
        <v>39</v>
      </c>
      <c r="E155" t="s">
        <v>122</v>
      </c>
      <c r="F155">
        <v>1</v>
      </c>
    </row>
    <row r="156" spans="1:6" x14ac:dyDescent="0.25">
      <c r="A156">
        <v>1</v>
      </c>
      <c r="B156">
        <v>59</v>
      </c>
      <c r="C156" t="s">
        <v>121</v>
      </c>
      <c r="D156" t="s">
        <v>20</v>
      </c>
      <c r="E156" t="s">
        <v>122</v>
      </c>
      <c r="F156">
        <v>1</v>
      </c>
    </row>
    <row r="157" spans="1:6" x14ac:dyDescent="0.25">
      <c r="A157">
        <v>2</v>
      </c>
      <c r="B157">
        <v>59</v>
      </c>
      <c r="C157" t="s">
        <v>121</v>
      </c>
      <c r="D157" t="s">
        <v>45</v>
      </c>
      <c r="E157" t="s">
        <v>122</v>
      </c>
      <c r="F157">
        <v>1</v>
      </c>
    </row>
    <row r="158" spans="1:6" x14ac:dyDescent="0.25">
      <c r="A158">
        <v>3</v>
      </c>
      <c r="B158">
        <v>59</v>
      </c>
      <c r="C158" t="s">
        <v>121</v>
      </c>
      <c r="D158" t="s">
        <v>95</v>
      </c>
      <c r="E158" t="s">
        <v>122</v>
      </c>
      <c r="F158">
        <v>1</v>
      </c>
    </row>
    <row r="159" spans="1:6" x14ac:dyDescent="0.25">
      <c r="A159">
        <v>1</v>
      </c>
      <c r="B159">
        <v>60</v>
      </c>
      <c r="C159" t="s">
        <v>121</v>
      </c>
      <c r="D159" t="s">
        <v>20</v>
      </c>
      <c r="E159" t="s">
        <v>122</v>
      </c>
      <c r="F159">
        <v>1</v>
      </c>
    </row>
    <row r="160" spans="1:6" x14ac:dyDescent="0.25">
      <c r="A160">
        <v>2</v>
      </c>
      <c r="B160">
        <v>60</v>
      </c>
      <c r="C160" t="s">
        <v>121</v>
      </c>
      <c r="D160" t="s">
        <v>39</v>
      </c>
      <c r="E160" t="s">
        <v>122</v>
      </c>
      <c r="F160">
        <v>1</v>
      </c>
    </row>
    <row r="161" spans="1:6" x14ac:dyDescent="0.25">
      <c r="A161">
        <v>3</v>
      </c>
      <c r="B161">
        <v>60</v>
      </c>
      <c r="C161" t="s">
        <v>121</v>
      </c>
      <c r="D161" t="s">
        <v>30</v>
      </c>
      <c r="E161" t="s">
        <v>122</v>
      </c>
      <c r="F161">
        <v>1</v>
      </c>
    </row>
    <row r="162" spans="1:6" x14ac:dyDescent="0.25">
      <c r="A162">
        <v>1</v>
      </c>
      <c r="B162">
        <v>61</v>
      </c>
      <c r="C162" t="s">
        <v>121</v>
      </c>
      <c r="D162" t="s">
        <v>20</v>
      </c>
      <c r="E162" t="s">
        <v>122</v>
      </c>
      <c r="F162">
        <v>1</v>
      </c>
    </row>
    <row r="163" spans="1:6" x14ac:dyDescent="0.25">
      <c r="A163">
        <v>2</v>
      </c>
      <c r="B163">
        <v>61</v>
      </c>
      <c r="C163" t="s">
        <v>121</v>
      </c>
      <c r="D163" t="s">
        <v>39</v>
      </c>
      <c r="E163" t="s">
        <v>122</v>
      </c>
      <c r="F163">
        <v>1</v>
      </c>
    </row>
    <row r="164" spans="1:6" x14ac:dyDescent="0.25">
      <c r="A164">
        <v>3</v>
      </c>
      <c r="B164">
        <v>61</v>
      </c>
      <c r="C164" t="s">
        <v>121</v>
      </c>
      <c r="D164" t="s">
        <v>96</v>
      </c>
      <c r="E164" t="s">
        <v>122</v>
      </c>
      <c r="F164">
        <v>1</v>
      </c>
    </row>
    <row r="165" spans="1:6" x14ac:dyDescent="0.25">
      <c r="A165">
        <v>1</v>
      </c>
      <c r="B165">
        <v>62</v>
      </c>
      <c r="C165" t="s">
        <v>121</v>
      </c>
      <c r="D165" t="s">
        <v>20</v>
      </c>
      <c r="E165" t="s">
        <v>122</v>
      </c>
      <c r="F165">
        <v>1</v>
      </c>
    </row>
    <row r="166" spans="1:6" x14ac:dyDescent="0.25">
      <c r="A166">
        <v>2</v>
      </c>
      <c r="B166">
        <v>62</v>
      </c>
      <c r="C166" t="s">
        <v>121</v>
      </c>
      <c r="D166" t="s">
        <v>95</v>
      </c>
      <c r="E166" t="s">
        <v>122</v>
      </c>
      <c r="F166">
        <v>1</v>
      </c>
    </row>
    <row r="167" spans="1:6" x14ac:dyDescent="0.25">
      <c r="A167">
        <v>3</v>
      </c>
      <c r="B167">
        <v>62</v>
      </c>
      <c r="C167" t="s">
        <v>121</v>
      </c>
      <c r="D167" t="s">
        <v>20</v>
      </c>
      <c r="E167" t="s">
        <v>122</v>
      </c>
      <c r="F167">
        <v>1</v>
      </c>
    </row>
    <row r="168" spans="1:6" x14ac:dyDescent="0.25">
      <c r="A168">
        <v>4</v>
      </c>
      <c r="B168">
        <v>62</v>
      </c>
      <c r="C168" t="s">
        <v>121</v>
      </c>
      <c r="D168" t="s">
        <v>39</v>
      </c>
      <c r="E168" t="s">
        <v>122</v>
      </c>
      <c r="F168">
        <v>1</v>
      </c>
    </row>
    <row r="169" spans="1:6" x14ac:dyDescent="0.25">
      <c r="A169">
        <v>1</v>
      </c>
      <c r="B169">
        <v>63</v>
      </c>
      <c r="C169" t="s">
        <v>121</v>
      </c>
      <c r="D169" t="s">
        <v>20</v>
      </c>
      <c r="E169" t="s">
        <v>122</v>
      </c>
      <c r="F169">
        <v>1</v>
      </c>
    </row>
    <row r="170" spans="1:6" x14ac:dyDescent="0.25">
      <c r="A170">
        <v>2</v>
      </c>
      <c r="B170">
        <v>63</v>
      </c>
      <c r="C170" t="s">
        <v>121</v>
      </c>
      <c r="D170" t="s">
        <v>95</v>
      </c>
      <c r="E170" t="s">
        <v>122</v>
      </c>
      <c r="F170">
        <v>1</v>
      </c>
    </row>
    <row r="171" spans="1:6" x14ac:dyDescent="0.25">
      <c r="A171">
        <v>3</v>
      </c>
      <c r="B171">
        <v>63</v>
      </c>
      <c r="C171" t="s">
        <v>121</v>
      </c>
      <c r="D171" t="s">
        <v>20</v>
      </c>
      <c r="E171" t="s">
        <v>122</v>
      </c>
      <c r="F171">
        <v>1</v>
      </c>
    </row>
    <row r="172" spans="1:6" x14ac:dyDescent="0.25">
      <c r="A172">
        <v>4</v>
      </c>
      <c r="B172">
        <v>63</v>
      </c>
      <c r="C172" t="s">
        <v>121</v>
      </c>
      <c r="D172" t="s">
        <v>95</v>
      </c>
      <c r="E172" t="s">
        <v>122</v>
      </c>
      <c r="F172">
        <v>1</v>
      </c>
    </row>
    <row r="173" spans="1:6" x14ac:dyDescent="0.25">
      <c r="A173">
        <v>5</v>
      </c>
      <c r="B173">
        <v>63</v>
      </c>
      <c r="C173" t="s">
        <v>121</v>
      </c>
      <c r="D173" t="s">
        <v>20</v>
      </c>
      <c r="E173" t="s">
        <v>122</v>
      </c>
      <c r="F173">
        <v>1</v>
      </c>
    </row>
    <row r="174" spans="1:6" x14ac:dyDescent="0.25">
      <c r="A174">
        <v>6</v>
      </c>
      <c r="B174">
        <v>63</v>
      </c>
      <c r="C174" t="s">
        <v>121</v>
      </c>
      <c r="D174" t="s">
        <v>95</v>
      </c>
      <c r="E174" t="s">
        <v>122</v>
      </c>
      <c r="F174">
        <v>1</v>
      </c>
    </row>
    <row r="175" spans="1:6" x14ac:dyDescent="0.25">
      <c r="A175">
        <v>1</v>
      </c>
      <c r="B175">
        <v>64</v>
      </c>
      <c r="C175" t="s">
        <v>121</v>
      </c>
      <c r="D175" t="s">
        <v>20</v>
      </c>
      <c r="E175" t="s">
        <v>122</v>
      </c>
      <c r="F175">
        <v>1</v>
      </c>
    </row>
    <row r="176" spans="1:6" x14ac:dyDescent="0.25">
      <c r="A176">
        <v>2</v>
      </c>
      <c r="B176">
        <v>64</v>
      </c>
      <c r="C176" t="s">
        <v>121</v>
      </c>
      <c r="D176" t="s">
        <v>95</v>
      </c>
      <c r="E176" t="s">
        <v>122</v>
      </c>
      <c r="F176">
        <v>1</v>
      </c>
    </row>
    <row r="177" spans="1:6" x14ac:dyDescent="0.25">
      <c r="A177">
        <v>3</v>
      </c>
      <c r="B177">
        <v>64</v>
      </c>
      <c r="C177" t="s">
        <v>121</v>
      </c>
      <c r="D177" t="s">
        <v>20</v>
      </c>
      <c r="E177" t="s">
        <v>122</v>
      </c>
      <c r="F177">
        <v>1</v>
      </c>
    </row>
    <row r="178" spans="1:6" x14ac:dyDescent="0.25">
      <c r="A178">
        <v>4</v>
      </c>
      <c r="B178">
        <v>64</v>
      </c>
      <c r="C178" t="s">
        <v>121</v>
      </c>
      <c r="D178" t="s">
        <v>95</v>
      </c>
      <c r="E178" t="s">
        <v>122</v>
      </c>
      <c r="F178">
        <v>1</v>
      </c>
    </row>
    <row r="179" spans="1:6" x14ac:dyDescent="0.25">
      <c r="A179">
        <v>5</v>
      </c>
      <c r="B179">
        <v>64</v>
      </c>
      <c r="C179" t="s">
        <v>121</v>
      </c>
      <c r="D179" t="s">
        <v>39</v>
      </c>
      <c r="E179" t="s">
        <v>122</v>
      </c>
      <c r="F179">
        <v>1</v>
      </c>
    </row>
    <row r="180" spans="1:6" x14ac:dyDescent="0.25">
      <c r="A180">
        <v>1</v>
      </c>
      <c r="B180">
        <v>65</v>
      </c>
      <c r="C180" t="s">
        <v>121</v>
      </c>
      <c r="D180" t="s">
        <v>20</v>
      </c>
      <c r="E180" t="s">
        <v>122</v>
      </c>
      <c r="F180">
        <v>1</v>
      </c>
    </row>
    <row r="181" spans="1:6" x14ac:dyDescent="0.25">
      <c r="A181">
        <v>2</v>
      </c>
      <c r="B181">
        <v>65</v>
      </c>
      <c r="C181" t="s">
        <v>121</v>
      </c>
      <c r="D181" t="s">
        <v>95</v>
      </c>
      <c r="E181" t="s">
        <v>122</v>
      </c>
      <c r="F181">
        <v>1</v>
      </c>
    </row>
    <row r="182" spans="1:6" x14ac:dyDescent="0.25">
      <c r="A182">
        <v>3</v>
      </c>
      <c r="B182">
        <v>65</v>
      </c>
      <c r="C182" t="s">
        <v>121</v>
      </c>
      <c r="D182" t="s">
        <v>39</v>
      </c>
      <c r="E182" t="s">
        <v>122</v>
      </c>
      <c r="F182">
        <v>1</v>
      </c>
    </row>
    <row r="183" spans="1:6" x14ac:dyDescent="0.25">
      <c r="A183">
        <v>1</v>
      </c>
      <c r="B183">
        <v>66</v>
      </c>
      <c r="C183" t="s">
        <v>121</v>
      </c>
      <c r="D183" t="s">
        <v>20</v>
      </c>
      <c r="E183" t="s">
        <v>122</v>
      </c>
      <c r="F183">
        <v>1</v>
      </c>
    </row>
    <row r="184" spans="1:6" x14ac:dyDescent="0.25">
      <c r="A184">
        <v>2</v>
      </c>
      <c r="B184">
        <v>66</v>
      </c>
      <c r="C184" t="s">
        <v>121</v>
      </c>
      <c r="D184" t="s">
        <v>37</v>
      </c>
      <c r="E184" t="s">
        <v>122</v>
      </c>
      <c r="F184">
        <v>1</v>
      </c>
    </row>
    <row r="185" spans="1:6" x14ac:dyDescent="0.25">
      <c r="A185">
        <v>3</v>
      </c>
      <c r="B185">
        <v>66</v>
      </c>
      <c r="C185" t="s">
        <v>121</v>
      </c>
      <c r="D185" t="s">
        <v>20</v>
      </c>
      <c r="E185" t="s">
        <v>122</v>
      </c>
      <c r="F185">
        <v>1</v>
      </c>
    </row>
    <row r="186" spans="1:6" x14ac:dyDescent="0.25">
      <c r="A186">
        <v>4</v>
      </c>
      <c r="B186">
        <v>66</v>
      </c>
      <c r="C186" t="s">
        <v>121</v>
      </c>
      <c r="D186" t="s">
        <v>45</v>
      </c>
      <c r="E186" t="s">
        <v>122</v>
      </c>
      <c r="F186">
        <v>1</v>
      </c>
    </row>
    <row r="187" spans="1:6" x14ac:dyDescent="0.25">
      <c r="A187">
        <v>1</v>
      </c>
      <c r="B187">
        <v>67</v>
      </c>
      <c r="C187" t="s">
        <v>123</v>
      </c>
      <c r="D187" t="s">
        <v>20</v>
      </c>
      <c r="E187" t="s">
        <v>124</v>
      </c>
      <c r="F187">
        <v>1</v>
      </c>
    </row>
    <row r="188" spans="1:6" x14ac:dyDescent="0.25">
      <c r="A188">
        <v>2</v>
      </c>
      <c r="B188">
        <v>67</v>
      </c>
      <c r="C188" t="s">
        <v>123</v>
      </c>
      <c r="D188" t="s">
        <v>30</v>
      </c>
      <c r="E188" t="s">
        <v>124</v>
      </c>
      <c r="F188">
        <v>1</v>
      </c>
    </row>
    <row r="189" spans="1:6" x14ac:dyDescent="0.25">
      <c r="A189">
        <v>3</v>
      </c>
      <c r="B189">
        <v>67</v>
      </c>
      <c r="C189" t="s">
        <v>123</v>
      </c>
      <c r="D189" t="s">
        <v>20</v>
      </c>
      <c r="E189" t="s">
        <v>124</v>
      </c>
      <c r="F189">
        <v>1</v>
      </c>
    </row>
    <row r="190" spans="1:6" x14ac:dyDescent="0.25">
      <c r="A190">
        <v>4</v>
      </c>
      <c r="B190">
        <v>67</v>
      </c>
      <c r="C190" t="s">
        <v>123</v>
      </c>
      <c r="D190" t="s">
        <v>30</v>
      </c>
      <c r="E190" t="s">
        <v>124</v>
      </c>
      <c r="F190">
        <v>1</v>
      </c>
    </row>
    <row r="191" spans="1:6" x14ac:dyDescent="0.25">
      <c r="A191">
        <v>1</v>
      </c>
      <c r="B191">
        <v>68</v>
      </c>
      <c r="C191" t="s">
        <v>125</v>
      </c>
      <c r="D191" t="s">
        <v>20</v>
      </c>
      <c r="E191" t="s">
        <v>126</v>
      </c>
      <c r="F191">
        <v>1</v>
      </c>
    </row>
    <row r="192" spans="1:6" x14ac:dyDescent="0.25">
      <c r="A192">
        <v>1</v>
      </c>
      <c r="B192">
        <v>69</v>
      </c>
      <c r="C192" t="s">
        <v>127</v>
      </c>
      <c r="D192" t="s">
        <v>20</v>
      </c>
      <c r="E192" t="s">
        <v>128</v>
      </c>
      <c r="F192">
        <v>1</v>
      </c>
    </row>
    <row r="193" spans="1:6" x14ac:dyDescent="0.25">
      <c r="A193">
        <v>2</v>
      </c>
      <c r="B193">
        <v>69</v>
      </c>
      <c r="C193" t="s">
        <v>127</v>
      </c>
      <c r="D193" t="s">
        <v>30</v>
      </c>
      <c r="E193" t="s">
        <v>128</v>
      </c>
      <c r="F193">
        <v>1</v>
      </c>
    </row>
    <row r="194" spans="1:6" x14ac:dyDescent="0.25">
      <c r="A194">
        <v>1</v>
      </c>
      <c r="B194">
        <v>70</v>
      </c>
      <c r="C194" t="s">
        <v>129</v>
      </c>
      <c r="D194" t="s">
        <v>20</v>
      </c>
      <c r="E194" t="s">
        <v>130</v>
      </c>
      <c r="F194">
        <v>1</v>
      </c>
    </row>
    <row r="195" spans="1:6" x14ac:dyDescent="0.25">
      <c r="A195">
        <v>2</v>
      </c>
      <c r="B195">
        <v>70</v>
      </c>
      <c r="C195" t="s">
        <v>129</v>
      </c>
      <c r="D195" t="s">
        <v>38</v>
      </c>
      <c r="E195" t="s">
        <v>130</v>
      </c>
      <c r="F195">
        <v>1</v>
      </c>
    </row>
    <row r="196" spans="1:6" x14ac:dyDescent="0.25">
      <c r="A196">
        <v>1</v>
      </c>
      <c r="B196">
        <v>71</v>
      </c>
      <c r="C196" t="s">
        <v>131</v>
      </c>
      <c r="D196" t="s">
        <v>20</v>
      </c>
      <c r="E196" t="s">
        <v>132</v>
      </c>
      <c r="F196">
        <v>16</v>
      </c>
    </row>
    <row r="197" spans="1:6" x14ac:dyDescent="0.25">
      <c r="A197">
        <v>2</v>
      </c>
      <c r="B197">
        <v>71</v>
      </c>
      <c r="C197" t="s">
        <v>131</v>
      </c>
      <c r="D197" t="s">
        <v>37</v>
      </c>
      <c r="E197" t="s">
        <v>132</v>
      </c>
      <c r="F197">
        <v>16</v>
      </c>
    </row>
    <row r="198" spans="1:6" x14ac:dyDescent="0.25">
      <c r="A198">
        <v>1</v>
      </c>
      <c r="B198">
        <v>72</v>
      </c>
      <c r="C198" t="s">
        <v>131</v>
      </c>
      <c r="D198" t="s">
        <v>20</v>
      </c>
      <c r="E198" t="s">
        <v>132</v>
      </c>
      <c r="F198">
        <v>9</v>
      </c>
    </row>
    <row r="199" spans="1:6" x14ac:dyDescent="0.25">
      <c r="A199">
        <v>2</v>
      </c>
      <c r="B199">
        <v>72</v>
      </c>
      <c r="C199" t="s">
        <v>131</v>
      </c>
      <c r="D199" t="s">
        <v>95</v>
      </c>
      <c r="E199" t="s">
        <v>132</v>
      </c>
      <c r="F199">
        <v>9</v>
      </c>
    </row>
    <row r="200" spans="1:6" x14ac:dyDescent="0.25">
      <c r="A200">
        <v>1</v>
      </c>
      <c r="B200">
        <v>73</v>
      </c>
      <c r="C200" t="s">
        <v>131</v>
      </c>
      <c r="D200" t="s">
        <v>20</v>
      </c>
      <c r="E200" t="s">
        <v>132</v>
      </c>
      <c r="F200">
        <v>4</v>
      </c>
    </row>
    <row r="201" spans="1:6" x14ac:dyDescent="0.25">
      <c r="A201">
        <v>2</v>
      </c>
      <c r="B201">
        <v>73</v>
      </c>
      <c r="C201" t="s">
        <v>131</v>
      </c>
      <c r="D201" t="s">
        <v>30</v>
      </c>
      <c r="E201" t="s">
        <v>132</v>
      </c>
      <c r="F201">
        <v>4</v>
      </c>
    </row>
    <row r="202" spans="1:6" x14ac:dyDescent="0.25">
      <c r="A202">
        <v>1</v>
      </c>
      <c r="B202">
        <v>74</v>
      </c>
      <c r="C202" t="s">
        <v>131</v>
      </c>
      <c r="D202" t="s">
        <v>20</v>
      </c>
      <c r="E202" t="s">
        <v>132</v>
      </c>
      <c r="F202">
        <v>3</v>
      </c>
    </row>
    <row r="203" spans="1:6" x14ac:dyDescent="0.25">
      <c r="A203">
        <v>2</v>
      </c>
      <c r="B203">
        <v>74</v>
      </c>
      <c r="C203" t="s">
        <v>131</v>
      </c>
      <c r="D203" t="s">
        <v>45</v>
      </c>
      <c r="E203" t="s">
        <v>132</v>
      </c>
      <c r="F203">
        <v>3</v>
      </c>
    </row>
    <row r="204" spans="1:6" x14ac:dyDescent="0.25">
      <c r="A204">
        <v>1</v>
      </c>
      <c r="B204">
        <v>75</v>
      </c>
      <c r="C204" t="s">
        <v>131</v>
      </c>
      <c r="D204" t="s">
        <v>20</v>
      </c>
      <c r="E204" t="s">
        <v>132</v>
      </c>
      <c r="F204">
        <v>3</v>
      </c>
    </row>
    <row r="205" spans="1:6" x14ac:dyDescent="0.25">
      <c r="A205">
        <v>2</v>
      </c>
      <c r="B205">
        <v>75</v>
      </c>
      <c r="C205" t="s">
        <v>131</v>
      </c>
      <c r="D205" t="s">
        <v>45</v>
      </c>
      <c r="E205" t="s">
        <v>132</v>
      </c>
      <c r="F205">
        <v>3</v>
      </c>
    </row>
    <row r="206" spans="1:6" x14ac:dyDescent="0.25">
      <c r="A206">
        <v>3</v>
      </c>
      <c r="B206">
        <v>75</v>
      </c>
      <c r="C206" t="s">
        <v>131</v>
      </c>
      <c r="D206" t="s">
        <v>96</v>
      </c>
      <c r="E206" t="s">
        <v>132</v>
      </c>
      <c r="F206">
        <v>3</v>
      </c>
    </row>
    <row r="207" spans="1:6" x14ac:dyDescent="0.25">
      <c r="A207">
        <v>1</v>
      </c>
      <c r="B207">
        <v>76</v>
      </c>
      <c r="C207" t="s">
        <v>131</v>
      </c>
      <c r="D207" t="s">
        <v>20</v>
      </c>
      <c r="E207" t="s">
        <v>132</v>
      </c>
      <c r="F207">
        <v>3</v>
      </c>
    </row>
    <row r="208" spans="1:6" x14ac:dyDescent="0.25">
      <c r="A208">
        <v>2</v>
      </c>
      <c r="B208">
        <v>76</v>
      </c>
      <c r="C208" t="s">
        <v>131</v>
      </c>
      <c r="D208" t="s">
        <v>39</v>
      </c>
      <c r="E208" t="s">
        <v>132</v>
      </c>
      <c r="F208">
        <v>3</v>
      </c>
    </row>
    <row r="209" spans="1:6" x14ac:dyDescent="0.25">
      <c r="A209">
        <v>3</v>
      </c>
      <c r="B209">
        <v>76</v>
      </c>
      <c r="C209" t="s">
        <v>131</v>
      </c>
      <c r="D209" t="s">
        <v>96</v>
      </c>
      <c r="E209" t="s">
        <v>132</v>
      </c>
      <c r="F209">
        <v>3</v>
      </c>
    </row>
    <row r="210" spans="1:6" x14ac:dyDescent="0.25">
      <c r="A210">
        <v>1</v>
      </c>
      <c r="B210">
        <v>77</v>
      </c>
      <c r="C210" t="s">
        <v>131</v>
      </c>
      <c r="D210" t="s">
        <v>20</v>
      </c>
      <c r="E210" t="s">
        <v>132</v>
      </c>
      <c r="F210">
        <v>2</v>
      </c>
    </row>
    <row r="211" spans="1:6" x14ac:dyDescent="0.25">
      <c r="A211">
        <v>2</v>
      </c>
      <c r="B211">
        <v>77</v>
      </c>
      <c r="C211" t="s">
        <v>131</v>
      </c>
      <c r="D211" t="s">
        <v>45</v>
      </c>
      <c r="E211" t="s">
        <v>132</v>
      </c>
      <c r="F211">
        <v>2</v>
      </c>
    </row>
    <row r="212" spans="1:6" x14ac:dyDescent="0.25">
      <c r="A212">
        <v>3</v>
      </c>
      <c r="B212">
        <v>77</v>
      </c>
      <c r="C212" t="s">
        <v>131</v>
      </c>
      <c r="D212" t="s">
        <v>39</v>
      </c>
      <c r="E212" t="s">
        <v>132</v>
      </c>
      <c r="F212">
        <v>2</v>
      </c>
    </row>
    <row r="213" spans="1:6" x14ac:dyDescent="0.25">
      <c r="A213">
        <v>1</v>
      </c>
      <c r="B213">
        <v>78</v>
      </c>
      <c r="C213" t="s">
        <v>131</v>
      </c>
      <c r="D213" t="s">
        <v>20</v>
      </c>
      <c r="E213" t="s">
        <v>132</v>
      </c>
      <c r="F213">
        <v>2</v>
      </c>
    </row>
    <row r="214" spans="1:6" x14ac:dyDescent="0.25">
      <c r="A214">
        <v>2</v>
      </c>
      <c r="B214">
        <v>78</v>
      </c>
      <c r="C214" t="s">
        <v>131</v>
      </c>
      <c r="D214" t="s">
        <v>39</v>
      </c>
      <c r="E214" t="s">
        <v>132</v>
      </c>
      <c r="F214">
        <v>2</v>
      </c>
    </row>
    <row r="215" spans="1:6" x14ac:dyDescent="0.25">
      <c r="A215">
        <v>3</v>
      </c>
      <c r="B215">
        <v>78</v>
      </c>
      <c r="C215" t="s">
        <v>131</v>
      </c>
      <c r="D215" t="s">
        <v>95</v>
      </c>
      <c r="E215" t="s">
        <v>132</v>
      </c>
      <c r="F215">
        <v>2</v>
      </c>
    </row>
    <row r="216" spans="1:6" x14ac:dyDescent="0.25">
      <c r="A216">
        <v>1</v>
      </c>
      <c r="B216">
        <v>79</v>
      </c>
      <c r="C216" t="s">
        <v>131</v>
      </c>
      <c r="D216" t="s">
        <v>20</v>
      </c>
      <c r="E216" t="s">
        <v>132</v>
      </c>
      <c r="F216">
        <v>1</v>
      </c>
    </row>
    <row r="217" spans="1:6" x14ac:dyDescent="0.25">
      <c r="A217">
        <v>2</v>
      </c>
      <c r="B217">
        <v>79</v>
      </c>
      <c r="C217" t="s">
        <v>131</v>
      </c>
      <c r="D217" t="s">
        <v>30</v>
      </c>
      <c r="E217" t="s">
        <v>132</v>
      </c>
      <c r="F217">
        <v>1</v>
      </c>
    </row>
    <row r="218" spans="1:6" x14ac:dyDescent="0.25">
      <c r="A218">
        <v>3</v>
      </c>
      <c r="B218">
        <v>79</v>
      </c>
      <c r="C218" t="s">
        <v>131</v>
      </c>
      <c r="D218" t="s">
        <v>39</v>
      </c>
      <c r="E218" t="s">
        <v>132</v>
      </c>
      <c r="F218">
        <v>1</v>
      </c>
    </row>
    <row r="219" spans="1:6" x14ac:dyDescent="0.25">
      <c r="A219">
        <v>1</v>
      </c>
      <c r="B219">
        <v>80</v>
      </c>
      <c r="C219" t="s">
        <v>131</v>
      </c>
      <c r="D219" t="s">
        <v>20</v>
      </c>
      <c r="E219" t="s">
        <v>132</v>
      </c>
      <c r="F219">
        <v>1</v>
      </c>
    </row>
    <row r="220" spans="1:6" x14ac:dyDescent="0.25">
      <c r="A220">
        <v>2</v>
      </c>
      <c r="B220">
        <v>80</v>
      </c>
      <c r="C220" t="s">
        <v>131</v>
      </c>
      <c r="D220" t="s">
        <v>39</v>
      </c>
      <c r="E220" t="s">
        <v>132</v>
      </c>
      <c r="F220">
        <v>1</v>
      </c>
    </row>
    <row r="221" spans="1:6" x14ac:dyDescent="0.25">
      <c r="A221">
        <v>3</v>
      </c>
      <c r="B221">
        <v>80</v>
      </c>
      <c r="C221" t="s">
        <v>131</v>
      </c>
      <c r="D221" t="s">
        <v>45</v>
      </c>
      <c r="E221" t="s">
        <v>132</v>
      </c>
      <c r="F221">
        <v>1</v>
      </c>
    </row>
    <row r="222" spans="1:6" x14ac:dyDescent="0.25">
      <c r="A222">
        <v>1</v>
      </c>
      <c r="B222">
        <v>81</v>
      </c>
      <c r="C222" t="s">
        <v>131</v>
      </c>
      <c r="D222" t="s">
        <v>20</v>
      </c>
      <c r="E222" t="s">
        <v>132</v>
      </c>
      <c r="F222">
        <v>1</v>
      </c>
    </row>
    <row r="223" spans="1:6" x14ac:dyDescent="0.25">
      <c r="A223">
        <v>2</v>
      </c>
      <c r="B223">
        <v>81</v>
      </c>
      <c r="C223" t="s">
        <v>131</v>
      </c>
      <c r="D223" t="s">
        <v>37</v>
      </c>
      <c r="E223" t="s">
        <v>132</v>
      </c>
      <c r="F223">
        <v>1</v>
      </c>
    </row>
    <row r="224" spans="1:6" x14ac:dyDescent="0.25">
      <c r="A224">
        <v>3</v>
      </c>
      <c r="B224">
        <v>81</v>
      </c>
      <c r="C224" t="s">
        <v>131</v>
      </c>
      <c r="D224" t="s">
        <v>20</v>
      </c>
      <c r="E224" t="s">
        <v>132</v>
      </c>
      <c r="F224">
        <v>1</v>
      </c>
    </row>
    <row r="225" spans="1:6" x14ac:dyDescent="0.25">
      <c r="A225">
        <v>4</v>
      </c>
      <c r="B225">
        <v>81</v>
      </c>
      <c r="C225" t="s">
        <v>131</v>
      </c>
      <c r="D225" t="s">
        <v>39</v>
      </c>
      <c r="E225" t="s">
        <v>132</v>
      </c>
      <c r="F225">
        <v>1</v>
      </c>
    </row>
    <row r="226" spans="1:6" x14ac:dyDescent="0.25">
      <c r="A226">
        <v>1</v>
      </c>
      <c r="B226">
        <v>82</v>
      </c>
      <c r="C226" t="s">
        <v>131</v>
      </c>
      <c r="D226" t="s">
        <v>20</v>
      </c>
      <c r="E226" t="s">
        <v>132</v>
      </c>
      <c r="F226">
        <v>1</v>
      </c>
    </row>
    <row r="227" spans="1:6" x14ac:dyDescent="0.25">
      <c r="A227">
        <v>2</v>
      </c>
      <c r="B227">
        <v>82</v>
      </c>
      <c r="C227" t="s">
        <v>131</v>
      </c>
      <c r="D227" t="s">
        <v>37</v>
      </c>
      <c r="E227" t="s">
        <v>132</v>
      </c>
      <c r="F227">
        <v>1</v>
      </c>
    </row>
    <row r="228" spans="1:6" x14ac:dyDescent="0.25">
      <c r="A228">
        <v>3</v>
      </c>
      <c r="B228">
        <v>82</v>
      </c>
      <c r="C228" t="s">
        <v>131</v>
      </c>
      <c r="D228" t="s">
        <v>20</v>
      </c>
      <c r="E228" t="s">
        <v>132</v>
      </c>
      <c r="F228">
        <v>1</v>
      </c>
    </row>
    <row r="229" spans="1:6" x14ac:dyDescent="0.25">
      <c r="A229">
        <v>4</v>
      </c>
      <c r="B229">
        <v>82</v>
      </c>
      <c r="C229" t="s">
        <v>131</v>
      </c>
      <c r="D229" t="s">
        <v>95</v>
      </c>
      <c r="E229" t="s">
        <v>132</v>
      </c>
      <c r="F229">
        <v>1</v>
      </c>
    </row>
    <row r="230" spans="1:6" x14ac:dyDescent="0.25">
      <c r="A230">
        <v>1</v>
      </c>
      <c r="B230">
        <v>83</v>
      </c>
      <c r="C230" t="s">
        <v>131</v>
      </c>
      <c r="D230" t="s">
        <v>39</v>
      </c>
      <c r="E230" t="s">
        <v>132</v>
      </c>
      <c r="F230">
        <v>1</v>
      </c>
    </row>
    <row r="231" spans="1:6" x14ac:dyDescent="0.25">
      <c r="A231">
        <v>2</v>
      </c>
      <c r="B231">
        <v>83</v>
      </c>
      <c r="C231" t="s">
        <v>131</v>
      </c>
      <c r="D231" t="s">
        <v>45</v>
      </c>
      <c r="E231" t="s">
        <v>132</v>
      </c>
      <c r="F231">
        <v>1</v>
      </c>
    </row>
    <row r="232" spans="1:6" x14ac:dyDescent="0.25">
      <c r="A232">
        <v>1</v>
      </c>
      <c r="B232">
        <v>84</v>
      </c>
      <c r="C232" t="s">
        <v>133</v>
      </c>
      <c r="D232" t="s">
        <v>20</v>
      </c>
      <c r="E232" t="s">
        <v>134</v>
      </c>
      <c r="F232">
        <v>9</v>
      </c>
    </row>
    <row r="233" spans="1:6" x14ac:dyDescent="0.25">
      <c r="A233">
        <v>2</v>
      </c>
      <c r="B233">
        <v>84</v>
      </c>
      <c r="C233" t="s">
        <v>133</v>
      </c>
      <c r="D233" t="s">
        <v>30</v>
      </c>
      <c r="E233" t="s">
        <v>134</v>
      </c>
      <c r="F233">
        <v>9</v>
      </c>
    </row>
    <row r="234" spans="1:6" x14ac:dyDescent="0.25">
      <c r="A234">
        <v>1</v>
      </c>
      <c r="B234">
        <v>85</v>
      </c>
      <c r="C234" t="s">
        <v>133</v>
      </c>
      <c r="D234" t="s">
        <v>20</v>
      </c>
      <c r="E234" t="s">
        <v>134</v>
      </c>
      <c r="F234">
        <v>3</v>
      </c>
    </row>
    <row r="235" spans="1:6" x14ac:dyDescent="0.25">
      <c r="A235">
        <v>2</v>
      </c>
      <c r="B235">
        <v>85</v>
      </c>
      <c r="C235" t="s">
        <v>133</v>
      </c>
      <c r="D235" t="s">
        <v>38</v>
      </c>
      <c r="E235" t="s">
        <v>134</v>
      </c>
      <c r="F235">
        <v>3</v>
      </c>
    </row>
    <row r="236" spans="1:6" x14ac:dyDescent="0.25">
      <c r="A236">
        <v>1</v>
      </c>
      <c r="B236">
        <v>86</v>
      </c>
      <c r="C236" t="s">
        <v>133</v>
      </c>
      <c r="D236" t="s">
        <v>20</v>
      </c>
      <c r="E236" t="s">
        <v>134</v>
      </c>
      <c r="F236">
        <v>2</v>
      </c>
    </row>
    <row r="237" spans="1:6" x14ac:dyDescent="0.25">
      <c r="A237">
        <v>2</v>
      </c>
      <c r="B237">
        <v>86</v>
      </c>
      <c r="C237" t="s">
        <v>133</v>
      </c>
      <c r="D237" t="s">
        <v>38</v>
      </c>
      <c r="E237" t="s">
        <v>134</v>
      </c>
      <c r="F237">
        <v>2</v>
      </c>
    </row>
    <row r="238" spans="1:6" x14ac:dyDescent="0.25">
      <c r="A238">
        <v>1</v>
      </c>
      <c r="B238">
        <v>87</v>
      </c>
      <c r="C238" t="s">
        <v>135</v>
      </c>
      <c r="D238" t="s">
        <v>20</v>
      </c>
      <c r="E238" t="s">
        <v>136</v>
      </c>
      <c r="F238">
        <v>1</v>
      </c>
    </row>
    <row r="239" spans="1:6" x14ac:dyDescent="0.25">
      <c r="A239">
        <v>2</v>
      </c>
      <c r="B239">
        <v>87</v>
      </c>
      <c r="C239" t="s">
        <v>135</v>
      </c>
      <c r="D239" t="s">
        <v>38</v>
      </c>
      <c r="E239" t="s">
        <v>136</v>
      </c>
      <c r="F239">
        <v>1</v>
      </c>
    </row>
    <row r="240" spans="1:6" x14ac:dyDescent="0.25">
      <c r="A240">
        <v>1</v>
      </c>
      <c r="B240">
        <v>88</v>
      </c>
      <c r="C240" t="s">
        <v>137</v>
      </c>
      <c r="D240" t="s">
        <v>20</v>
      </c>
      <c r="E240" t="s">
        <v>138</v>
      </c>
      <c r="F240">
        <v>1</v>
      </c>
    </row>
    <row r="241" spans="1:6" x14ac:dyDescent="0.25">
      <c r="A241">
        <v>2</v>
      </c>
      <c r="B241">
        <v>88</v>
      </c>
      <c r="C241" t="s">
        <v>137</v>
      </c>
      <c r="D241" t="s">
        <v>30</v>
      </c>
      <c r="E241" t="s">
        <v>138</v>
      </c>
      <c r="F241">
        <v>1</v>
      </c>
    </row>
    <row r="242" spans="1:6" x14ac:dyDescent="0.25">
      <c r="A242">
        <v>1</v>
      </c>
      <c r="B242">
        <v>89</v>
      </c>
      <c r="C242" t="s">
        <v>139</v>
      </c>
      <c r="D242" t="s">
        <v>20</v>
      </c>
      <c r="E242" t="s">
        <v>140</v>
      </c>
      <c r="F242">
        <v>2</v>
      </c>
    </row>
    <row r="243" spans="1:6" x14ac:dyDescent="0.25">
      <c r="A243">
        <v>2</v>
      </c>
      <c r="B243">
        <v>89</v>
      </c>
      <c r="C243" t="s">
        <v>139</v>
      </c>
      <c r="D243" t="s">
        <v>30</v>
      </c>
      <c r="E243" t="s">
        <v>140</v>
      </c>
      <c r="F243">
        <v>2</v>
      </c>
    </row>
    <row r="244" spans="1:6" x14ac:dyDescent="0.25">
      <c r="A244">
        <v>1</v>
      </c>
      <c r="B244">
        <v>90</v>
      </c>
      <c r="C244" t="s">
        <v>141</v>
      </c>
      <c r="D244" t="s">
        <v>20</v>
      </c>
      <c r="E244" t="s">
        <v>142</v>
      </c>
      <c r="F244">
        <v>1</v>
      </c>
    </row>
    <row r="245" spans="1:6" x14ac:dyDescent="0.25">
      <c r="A245">
        <v>2</v>
      </c>
      <c r="B245">
        <v>90</v>
      </c>
      <c r="C245" t="s">
        <v>141</v>
      </c>
      <c r="D245" t="s">
        <v>30</v>
      </c>
      <c r="E245" t="s">
        <v>142</v>
      </c>
      <c r="F245">
        <v>1</v>
      </c>
    </row>
    <row r="246" spans="1:6" x14ac:dyDescent="0.25">
      <c r="A246">
        <v>1</v>
      </c>
      <c r="B246">
        <v>91</v>
      </c>
      <c r="C246" t="s">
        <v>143</v>
      </c>
      <c r="D246" t="s">
        <v>20</v>
      </c>
      <c r="E246" t="s">
        <v>144</v>
      </c>
      <c r="F246">
        <v>1</v>
      </c>
    </row>
    <row r="247" spans="1:6" x14ac:dyDescent="0.25">
      <c r="A247">
        <v>2</v>
      </c>
      <c r="B247">
        <v>91</v>
      </c>
      <c r="C247" t="s">
        <v>143</v>
      </c>
      <c r="D247" t="s">
        <v>30</v>
      </c>
      <c r="E247" t="s">
        <v>144</v>
      </c>
      <c r="F247">
        <v>1</v>
      </c>
    </row>
    <row r="248" spans="1:6" x14ac:dyDescent="0.25">
      <c r="A248">
        <v>1</v>
      </c>
      <c r="B248">
        <v>92</v>
      </c>
      <c r="C248" t="s">
        <v>145</v>
      </c>
      <c r="D248" t="s">
        <v>20</v>
      </c>
      <c r="E248" t="s">
        <v>146</v>
      </c>
      <c r="F248">
        <v>1</v>
      </c>
    </row>
    <row r="249" spans="1:6" x14ac:dyDescent="0.25">
      <c r="A249">
        <v>2</v>
      </c>
      <c r="B249">
        <v>92</v>
      </c>
      <c r="C249" t="s">
        <v>145</v>
      </c>
      <c r="D249" t="s">
        <v>38</v>
      </c>
      <c r="E249" t="s">
        <v>146</v>
      </c>
      <c r="F249">
        <v>1</v>
      </c>
    </row>
    <row r="250" spans="1:6" x14ac:dyDescent="0.25">
      <c r="A250">
        <v>1</v>
      </c>
      <c r="B250">
        <v>93</v>
      </c>
      <c r="C250" t="s">
        <v>147</v>
      </c>
      <c r="D250" t="s">
        <v>30</v>
      </c>
      <c r="E250" t="s">
        <v>148</v>
      </c>
      <c r="F250">
        <v>1</v>
      </c>
    </row>
    <row r="251" spans="1:6" x14ac:dyDescent="0.25">
      <c r="A251">
        <v>1</v>
      </c>
      <c r="B251">
        <v>94</v>
      </c>
      <c r="C251" t="s">
        <v>147</v>
      </c>
      <c r="D251" t="s">
        <v>20</v>
      </c>
      <c r="E251" t="s">
        <v>148</v>
      </c>
      <c r="F251">
        <v>1</v>
      </c>
    </row>
    <row r="252" spans="1:6" x14ac:dyDescent="0.25">
      <c r="A252">
        <v>2</v>
      </c>
      <c r="B252">
        <v>94</v>
      </c>
      <c r="C252" t="s">
        <v>147</v>
      </c>
      <c r="D252" t="s">
        <v>38</v>
      </c>
      <c r="E252" t="s">
        <v>148</v>
      </c>
      <c r="F252">
        <v>1</v>
      </c>
    </row>
    <row r="253" spans="1:6" x14ac:dyDescent="0.25">
      <c r="A253">
        <v>1</v>
      </c>
      <c r="B253">
        <v>95</v>
      </c>
      <c r="C253" t="s">
        <v>149</v>
      </c>
      <c r="D253" t="s">
        <v>20</v>
      </c>
      <c r="E253" t="s">
        <v>150</v>
      </c>
      <c r="F253">
        <v>1</v>
      </c>
    </row>
    <row r="254" spans="1:6" x14ac:dyDescent="0.25">
      <c r="A254">
        <v>2</v>
      </c>
      <c r="B254">
        <v>95</v>
      </c>
      <c r="C254" t="s">
        <v>149</v>
      </c>
      <c r="D254" t="s">
        <v>38</v>
      </c>
      <c r="E254" t="s">
        <v>150</v>
      </c>
      <c r="F254">
        <v>1</v>
      </c>
    </row>
    <row r="255" spans="1:6" x14ac:dyDescent="0.25">
      <c r="A255">
        <v>1</v>
      </c>
      <c r="B255">
        <v>96</v>
      </c>
      <c r="C255" t="s">
        <v>151</v>
      </c>
      <c r="D255" t="s">
        <v>20</v>
      </c>
      <c r="E255" t="s">
        <v>152</v>
      </c>
      <c r="F255">
        <v>1</v>
      </c>
    </row>
    <row r="256" spans="1:6" x14ac:dyDescent="0.25">
      <c r="A256">
        <v>2</v>
      </c>
      <c r="B256">
        <v>96</v>
      </c>
      <c r="C256" t="s">
        <v>151</v>
      </c>
      <c r="D256" t="s">
        <v>30</v>
      </c>
      <c r="E256" t="s">
        <v>152</v>
      </c>
      <c r="F256">
        <v>1</v>
      </c>
    </row>
    <row r="257" spans="1:6" x14ac:dyDescent="0.25">
      <c r="A257">
        <v>1</v>
      </c>
      <c r="B257">
        <v>97</v>
      </c>
      <c r="C257" t="s">
        <v>153</v>
      </c>
      <c r="D257" t="s">
        <v>20</v>
      </c>
      <c r="E257" t="s">
        <v>154</v>
      </c>
      <c r="F257">
        <v>13</v>
      </c>
    </row>
    <row r="258" spans="1:6" x14ac:dyDescent="0.25">
      <c r="A258">
        <v>2</v>
      </c>
      <c r="B258">
        <v>97</v>
      </c>
      <c r="C258" t="s">
        <v>153</v>
      </c>
      <c r="D258" t="s">
        <v>37</v>
      </c>
      <c r="E258" t="s">
        <v>154</v>
      </c>
      <c r="F258">
        <v>13</v>
      </c>
    </row>
    <row r="259" spans="1:6" x14ac:dyDescent="0.25">
      <c r="A259">
        <v>1</v>
      </c>
      <c r="B259">
        <v>98</v>
      </c>
      <c r="C259" t="s">
        <v>153</v>
      </c>
      <c r="D259" t="s">
        <v>20</v>
      </c>
      <c r="E259" t="s">
        <v>154</v>
      </c>
      <c r="F259">
        <v>12</v>
      </c>
    </row>
    <row r="260" spans="1:6" x14ac:dyDescent="0.25">
      <c r="A260">
        <v>2</v>
      </c>
      <c r="B260">
        <v>98</v>
      </c>
      <c r="C260" t="s">
        <v>153</v>
      </c>
      <c r="D260" t="s">
        <v>95</v>
      </c>
      <c r="E260" t="s">
        <v>154</v>
      </c>
      <c r="F260">
        <v>12</v>
      </c>
    </row>
    <row r="261" spans="1:6" x14ac:dyDescent="0.25">
      <c r="A261">
        <v>1</v>
      </c>
      <c r="B261">
        <v>99</v>
      </c>
      <c r="C261" t="s">
        <v>153</v>
      </c>
      <c r="D261" t="s">
        <v>20</v>
      </c>
      <c r="E261" t="s">
        <v>154</v>
      </c>
      <c r="F261">
        <v>6</v>
      </c>
    </row>
    <row r="262" spans="1:6" x14ac:dyDescent="0.25">
      <c r="A262">
        <v>2</v>
      </c>
      <c r="B262">
        <v>99</v>
      </c>
      <c r="C262" t="s">
        <v>153</v>
      </c>
      <c r="D262" t="s">
        <v>39</v>
      </c>
      <c r="E262" t="s">
        <v>154</v>
      </c>
      <c r="F262">
        <v>6</v>
      </c>
    </row>
    <row r="263" spans="1:6" x14ac:dyDescent="0.25">
      <c r="A263">
        <v>1</v>
      </c>
      <c r="B263">
        <v>100</v>
      </c>
      <c r="C263" t="s">
        <v>153</v>
      </c>
      <c r="D263" t="s">
        <v>20</v>
      </c>
      <c r="E263" t="s">
        <v>154</v>
      </c>
      <c r="F263">
        <v>5</v>
      </c>
    </row>
    <row r="264" spans="1:6" x14ac:dyDescent="0.25">
      <c r="A264">
        <v>2</v>
      </c>
      <c r="B264">
        <v>100</v>
      </c>
      <c r="C264" t="s">
        <v>153</v>
      </c>
      <c r="D264" t="s">
        <v>45</v>
      </c>
      <c r="E264" t="s">
        <v>154</v>
      </c>
      <c r="F264">
        <v>5</v>
      </c>
    </row>
    <row r="265" spans="1:6" x14ac:dyDescent="0.25">
      <c r="A265">
        <v>1</v>
      </c>
      <c r="B265">
        <v>101</v>
      </c>
      <c r="C265" t="s">
        <v>153</v>
      </c>
      <c r="D265" t="s">
        <v>20</v>
      </c>
      <c r="E265" t="s">
        <v>154</v>
      </c>
      <c r="F265">
        <v>4</v>
      </c>
    </row>
    <row r="266" spans="1:6" x14ac:dyDescent="0.25">
      <c r="A266">
        <v>2</v>
      </c>
      <c r="B266">
        <v>101</v>
      </c>
      <c r="C266" t="s">
        <v>153</v>
      </c>
      <c r="D266" t="s">
        <v>45</v>
      </c>
      <c r="E266" t="s">
        <v>154</v>
      </c>
      <c r="F266">
        <v>4</v>
      </c>
    </row>
    <row r="267" spans="1:6" x14ac:dyDescent="0.25">
      <c r="A267">
        <v>3</v>
      </c>
      <c r="B267">
        <v>101</v>
      </c>
      <c r="C267" t="s">
        <v>153</v>
      </c>
      <c r="D267" t="s">
        <v>39</v>
      </c>
      <c r="E267" t="s">
        <v>154</v>
      </c>
      <c r="F267">
        <v>4</v>
      </c>
    </row>
    <row r="268" spans="1:6" x14ac:dyDescent="0.25">
      <c r="A268">
        <v>1</v>
      </c>
      <c r="B268">
        <v>102</v>
      </c>
      <c r="C268" t="s">
        <v>153</v>
      </c>
      <c r="D268" t="s">
        <v>20</v>
      </c>
      <c r="E268" t="s">
        <v>154</v>
      </c>
      <c r="F268">
        <v>3</v>
      </c>
    </row>
    <row r="269" spans="1:6" x14ac:dyDescent="0.25">
      <c r="A269">
        <v>2</v>
      </c>
      <c r="B269">
        <v>102</v>
      </c>
      <c r="C269" t="s">
        <v>153</v>
      </c>
      <c r="D269" t="s">
        <v>45</v>
      </c>
      <c r="E269" t="s">
        <v>154</v>
      </c>
      <c r="F269">
        <v>3</v>
      </c>
    </row>
    <row r="270" spans="1:6" x14ac:dyDescent="0.25">
      <c r="A270">
        <v>3</v>
      </c>
      <c r="B270">
        <v>102</v>
      </c>
      <c r="C270" t="s">
        <v>153</v>
      </c>
      <c r="D270" t="s">
        <v>96</v>
      </c>
      <c r="E270" t="s">
        <v>154</v>
      </c>
      <c r="F270">
        <v>3</v>
      </c>
    </row>
    <row r="271" spans="1:6" x14ac:dyDescent="0.25">
      <c r="A271">
        <v>1</v>
      </c>
      <c r="B271">
        <v>103</v>
      </c>
      <c r="C271" t="s">
        <v>153</v>
      </c>
      <c r="D271" t="s">
        <v>20</v>
      </c>
      <c r="E271" t="s">
        <v>154</v>
      </c>
      <c r="F271">
        <v>3</v>
      </c>
    </row>
    <row r="272" spans="1:6" x14ac:dyDescent="0.25">
      <c r="A272">
        <v>2</v>
      </c>
      <c r="B272">
        <v>103</v>
      </c>
      <c r="C272" t="s">
        <v>153</v>
      </c>
      <c r="D272" t="s">
        <v>45</v>
      </c>
      <c r="E272" t="s">
        <v>154</v>
      </c>
      <c r="F272">
        <v>3</v>
      </c>
    </row>
    <row r="273" spans="1:6" x14ac:dyDescent="0.25">
      <c r="A273">
        <v>3</v>
      </c>
      <c r="B273">
        <v>103</v>
      </c>
      <c r="C273" t="s">
        <v>153</v>
      </c>
      <c r="D273" t="s">
        <v>95</v>
      </c>
      <c r="E273" t="s">
        <v>154</v>
      </c>
      <c r="F273">
        <v>3</v>
      </c>
    </row>
    <row r="274" spans="1:6" x14ac:dyDescent="0.25">
      <c r="A274">
        <v>1</v>
      </c>
      <c r="B274">
        <v>104</v>
      </c>
      <c r="C274" t="s">
        <v>153</v>
      </c>
      <c r="D274" t="s">
        <v>97</v>
      </c>
      <c r="E274" t="s">
        <v>154</v>
      </c>
      <c r="F274">
        <v>2</v>
      </c>
    </row>
    <row r="275" spans="1:6" x14ac:dyDescent="0.25">
      <c r="A275">
        <v>2</v>
      </c>
      <c r="B275">
        <v>104</v>
      </c>
      <c r="C275" t="s">
        <v>153</v>
      </c>
      <c r="D275" t="s">
        <v>37</v>
      </c>
      <c r="E275" t="s">
        <v>154</v>
      </c>
      <c r="F275">
        <v>2</v>
      </c>
    </row>
    <row r="276" spans="1:6" x14ac:dyDescent="0.25">
      <c r="A276">
        <v>1</v>
      </c>
      <c r="B276">
        <v>105</v>
      </c>
      <c r="C276" t="s">
        <v>153</v>
      </c>
      <c r="D276" t="s">
        <v>20</v>
      </c>
      <c r="E276" t="s">
        <v>154</v>
      </c>
      <c r="F276">
        <v>2</v>
      </c>
    </row>
    <row r="277" spans="1:6" x14ac:dyDescent="0.25">
      <c r="A277">
        <v>2</v>
      </c>
      <c r="B277">
        <v>105</v>
      </c>
      <c r="C277" t="s">
        <v>153</v>
      </c>
      <c r="D277" t="s">
        <v>39</v>
      </c>
      <c r="E277" t="s">
        <v>154</v>
      </c>
      <c r="F277">
        <v>2</v>
      </c>
    </row>
    <row r="278" spans="1:6" x14ac:dyDescent="0.25">
      <c r="A278">
        <v>3</v>
      </c>
      <c r="B278">
        <v>105</v>
      </c>
      <c r="C278" t="s">
        <v>153</v>
      </c>
      <c r="D278" t="s">
        <v>96</v>
      </c>
      <c r="E278" t="s">
        <v>154</v>
      </c>
      <c r="F278">
        <v>2</v>
      </c>
    </row>
    <row r="279" spans="1:6" x14ac:dyDescent="0.25">
      <c r="A279">
        <v>1</v>
      </c>
      <c r="B279">
        <v>106</v>
      </c>
      <c r="C279" t="s">
        <v>153</v>
      </c>
      <c r="D279" t="s">
        <v>30</v>
      </c>
      <c r="E279" t="s">
        <v>154</v>
      </c>
      <c r="F279">
        <v>1</v>
      </c>
    </row>
    <row r="280" spans="1:6" x14ac:dyDescent="0.25">
      <c r="A280">
        <v>2</v>
      </c>
      <c r="B280">
        <v>106</v>
      </c>
      <c r="C280" t="s">
        <v>153</v>
      </c>
      <c r="D280" t="s">
        <v>20</v>
      </c>
      <c r="E280" t="s">
        <v>154</v>
      </c>
      <c r="F280">
        <v>1</v>
      </c>
    </row>
    <row r="281" spans="1:6" x14ac:dyDescent="0.25">
      <c r="A281">
        <v>1</v>
      </c>
      <c r="B281">
        <v>107</v>
      </c>
      <c r="C281" t="s">
        <v>153</v>
      </c>
      <c r="D281" t="s">
        <v>30</v>
      </c>
      <c r="E281" t="s">
        <v>154</v>
      </c>
      <c r="F281">
        <v>1</v>
      </c>
    </row>
    <row r="282" spans="1:6" x14ac:dyDescent="0.25">
      <c r="A282">
        <v>2</v>
      </c>
      <c r="B282">
        <v>107</v>
      </c>
      <c r="C282" t="s">
        <v>153</v>
      </c>
      <c r="D282" t="s">
        <v>20</v>
      </c>
      <c r="E282" t="s">
        <v>154</v>
      </c>
      <c r="F282">
        <v>1</v>
      </c>
    </row>
    <row r="283" spans="1:6" x14ac:dyDescent="0.25">
      <c r="A283">
        <v>3</v>
      </c>
      <c r="B283">
        <v>107</v>
      </c>
      <c r="C283" t="s">
        <v>153</v>
      </c>
      <c r="D283" t="s">
        <v>39</v>
      </c>
      <c r="E283" t="s">
        <v>154</v>
      </c>
      <c r="F283">
        <v>1</v>
      </c>
    </row>
    <row r="284" spans="1:6" x14ac:dyDescent="0.25">
      <c r="A284">
        <v>1</v>
      </c>
      <c r="B284">
        <v>108</v>
      </c>
      <c r="C284" t="s">
        <v>153</v>
      </c>
      <c r="D284" t="s">
        <v>20</v>
      </c>
      <c r="E284" t="s">
        <v>154</v>
      </c>
      <c r="F284">
        <v>1</v>
      </c>
    </row>
    <row r="285" spans="1:6" x14ac:dyDescent="0.25">
      <c r="A285">
        <v>2</v>
      </c>
      <c r="B285">
        <v>108</v>
      </c>
      <c r="C285" t="s">
        <v>153</v>
      </c>
      <c r="D285" t="s">
        <v>30</v>
      </c>
      <c r="E285" t="s">
        <v>154</v>
      </c>
      <c r="F285">
        <v>1</v>
      </c>
    </row>
    <row r="286" spans="1:6" x14ac:dyDescent="0.25">
      <c r="A286">
        <v>3</v>
      </c>
      <c r="B286">
        <v>108</v>
      </c>
      <c r="C286" t="s">
        <v>153</v>
      </c>
      <c r="D286" t="s">
        <v>20</v>
      </c>
      <c r="E286" t="s">
        <v>154</v>
      </c>
      <c r="F286">
        <v>1</v>
      </c>
    </row>
    <row r="287" spans="1:6" x14ac:dyDescent="0.25">
      <c r="A287">
        <v>4</v>
      </c>
      <c r="B287">
        <v>108</v>
      </c>
      <c r="C287" t="s">
        <v>153</v>
      </c>
      <c r="D287" t="s">
        <v>30</v>
      </c>
      <c r="E287" t="s">
        <v>154</v>
      </c>
      <c r="F287">
        <v>1</v>
      </c>
    </row>
    <row r="288" spans="1:6" x14ac:dyDescent="0.25">
      <c r="A288">
        <v>5</v>
      </c>
      <c r="B288">
        <v>108</v>
      </c>
      <c r="C288" t="s">
        <v>153</v>
      </c>
      <c r="D288" t="s">
        <v>45</v>
      </c>
      <c r="E288" t="s">
        <v>154</v>
      </c>
      <c r="F288">
        <v>1</v>
      </c>
    </row>
    <row r="289" spans="1:6" x14ac:dyDescent="0.25">
      <c r="A289">
        <v>6</v>
      </c>
      <c r="B289">
        <v>108</v>
      </c>
      <c r="C289" t="s">
        <v>153</v>
      </c>
      <c r="D289" t="s">
        <v>97</v>
      </c>
      <c r="E289" t="s">
        <v>154</v>
      </c>
      <c r="F289">
        <v>1</v>
      </c>
    </row>
    <row r="290" spans="1:6" x14ac:dyDescent="0.25">
      <c r="A290">
        <v>7</v>
      </c>
      <c r="B290">
        <v>108</v>
      </c>
      <c r="C290" t="s">
        <v>153</v>
      </c>
      <c r="D290" t="s">
        <v>96</v>
      </c>
      <c r="E290" t="s">
        <v>154</v>
      </c>
      <c r="F290">
        <v>1</v>
      </c>
    </row>
    <row r="291" spans="1:6" x14ac:dyDescent="0.25">
      <c r="A291">
        <v>1</v>
      </c>
      <c r="B291">
        <v>109</v>
      </c>
      <c r="C291" t="s">
        <v>153</v>
      </c>
      <c r="D291" t="s">
        <v>20</v>
      </c>
      <c r="E291" t="s">
        <v>154</v>
      </c>
      <c r="F291">
        <v>1</v>
      </c>
    </row>
    <row r="292" spans="1:6" x14ac:dyDescent="0.25">
      <c r="A292">
        <v>2</v>
      </c>
      <c r="B292">
        <v>109</v>
      </c>
      <c r="C292" t="s">
        <v>153</v>
      </c>
      <c r="D292" t="s">
        <v>30</v>
      </c>
      <c r="E292" t="s">
        <v>154</v>
      </c>
      <c r="F292">
        <v>1</v>
      </c>
    </row>
    <row r="293" spans="1:6" x14ac:dyDescent="0.25">
      <c r="A293">
        <v>3</v>
      </c>
      <c r="B293">
        <v>109</v>
      </c>
      <c r="C293" t="s">
        <v>153</v>
      </c>
      <c r="D293" t="s">
        <v>45</v>
      </c>
      <c r="E293" t="s">
        <v>154</v>
      </c>
      <c r="F293">
        <v>1</v>
      </c>
    </row>
    <row r="294" spans="1:6" x14ac:dyDescent="0.25">
      <c r="A294">
        <v>4</v>
      </c>
      <c r="B294">
        <v>109</v>
      </c>
      <c r="C294" t="s">
        <v>153</v>
      </c>
      <c r="D294" t="s">
        <v>45</v>
      </c>
      <c r="E294" t="s">
        <v>154</v>
      </c>
      <c r="F294">
        <v>1</v>
      </c>
    </row>
    <row r="295" spans="1:6" x14ac:dyDescent="0.25">
      <c r="A295">
        <v>5</v>
      </c>
      <c r="B295">
        <v>109</v>
      </c>
      <c r="C295" t="s">
        <v>153</v>
      </c>
      <c r="D295" t="s">
        <v>30</v>
      </c>
      <c r="E295" t="s">
        <v>154</v>
      </c>
      <c r="F295">
        <v>1</v>
      </c>
    </row>
    <row r="296" spans="1:6" x14ac:dyDescent="0.25">
      <c r="A296">
        <v>1</v>
      </c>
      <c r="B296">
        <v>110</v>
      </c>
      <c r="C296" t="s">
        <v>153</v>
      </c>
      <c r="D296" t="s">
        <v>20</v>
      </c>
      <c r="E296" t="s">
        <v>154</v>
      </c>
      <c r="F296">
        <v>1</v>
      </c>
    </row>
    <row r="297" spans="1:6" x14ac:dyDescent="0.25">
      <c r="A297">
        <v>2</v>
      </c>
      <c r="B297">
        <v>110</v>
      </c>
      <c r="C297" t="s">
        <v>153</v>
      </c>
      <c r="D297" t="s">
        <v>45</v>
      </c>
      <c r="E297" t="s">
        <v>154</v>
      </c>
      <c r="F297">
        <v>1</v>
      </c>
    </row>
    <row r="298" spans="1:6" x14ac:dyDescent="0.25">
      <c r="A298">
        <v>3</v>
      </c>
      <c r="B298">
        <v>110</v>
      </c>
      <c r="C298" t="s">
        <v>153</v>
      </c>
      <c r="D298" t="s">
        <v>97</v>
      </c>
      <c r="E298" t="s">
        <v>154</v>
      </c>
      <c r="F298">
        <v>1</v>
      </c>
    </row>
    <row r="299" spans="1:6" x14ac:dyDescent="0.25">
      <c r="A299">
        <v>4</v>
      </c>
      <c r="B299">
        <v>110</v>
      </c>
      <c r="C299" t="s">
        <v>153</v>
      </c>
      <c r="D299" t="s">
        <v>45</v>
      </c>
      <c r="E299" t="s">
        <v>154</v>
      </c>
      <c r="F299">
        <v>1</v>
      </c>
    </row>
    <row r="300" spans="1:6" x14ac:dyDescent="0.25">
      <c r="A300">
        <v>5</v>
      </c>
      <c r="B300">
        <v>110</v>
      </c>
      <c r="C300" t="s">
        <v>153</v>
      </c>
      <c r="D300" t="s">
        <v>96</v>
      </c>
      <c r="E300" t="s">
        <v>154</v>
      </c>
      <c r="F300">
        <v>1</v>
      </c>
    </row>
    <row r="301" spans="1:6" x14ac:dyDescent="0.25">
      <c r="A301">
        <v>1</v>
      </c>
      <c r="B301">
        <v>111</v>
      </c>
      <c r="C301" t="s">
        <v>153</v>
      </c>
      <c r="D301" t="s">
        <v>20</v>
      </c>
      <c r="E301" t="s">
        <v>154</v>
      </c>
      <c r="F301">
        <v>1</v>
      </c>
    </row>
    <row r="302" spans="1:6" x14ac:dyDescent="0.25">
      <c r="A302">
        <v>2</v>
      </c>
      <c r="B302">
        <v>111</v>
      </c>
      <c r="C302" t="s">
        <v>153</v>
      </c>
      <c r="D302" t="s">
        <v>45</v>
      </c>
      <c r="E302" t="s">
        <v>154</v>
      </c>
      <c r="F302">
        <v>1</v>
      </c>
    </row>
    <row r="303" spans="1:6" x14ac:dyDescent="0.25">
      <c r="A303">
        <v>3</v>
      </c>
      <c r="B303">
        <v>111</v>
      </c>
      <c r="C303" t="s">
        <v>153</v>
      </c>
      <c r="D303" t="s">
        <v>96</v>
      </c>
      <c r="E303" t="s">
        <v>154</v>
      </c>
      <c r="F303">
        <v>1</v>
      </c>
    </row>
    <row r="304" spans="1:6" x14ac:dyDescent="0.25">
      <c r="A304">
        <v>1</v>
      </c>
      <c r="B304">
        <v>112</v>
      </c>
      <c r="C304" t="s">
        <v>153</v>
      </c>
      <c r="D304" t="s">
        <v>20</v>
      </c>
      <c r="E304" t="s">
        <v>154</v>
      </c>
      <c r="F304">
        <v>1</v>
      </c>
    </row>
    <row r="305" spans="1:6" x14ac:dyDescent="0.25">
      <c r="A305">
        <v>2</v>
      </c>
      <c r="B305">
        <v>112</v>
      </c>
      <c r="C305" t="s">
        <v>153</v>
      </c>
      <c r="D305" t="s">
        <v>39</v>
      </c>
      <c r="E305" t="s">
        <v>154</v>
      </c>
      <c r="F305">
        <v>1</v>
      </c>
    </row>
    <row r="306" spans="1:6" x14ac:dyDescent="0.25">
      <c r="A306">
        <v>3</v>
      </c>
      <c r="B306">
        <v>112</v>
      </c>
      <c r="C306" t="s">
        <v>153</v>
      </c>
      <c r="D306" t="s">
        <v>45</v>
      </c>
      <c r="E306" t="s">
        <v>154</v>
      </c>
      <c r="F306">
        <v>1</v>
      </c>
    </row>
    <row r="307" spans="1:6" x14ac:dyDescent="0.25">
      <c r="A307">
        <v>1</v>
      </c>
      <c r="B307">
        <v>113</v>
      </c>
      <c r="C307" t="s">
        <v>153</v>
      </c>
      <c r="D307" t="s">
        <v>20</v>
      </c>
      <c r="E307" t="s">
        <v>154</v>
      </c>
      <c r="F307">
        <v>1</v>
      </c>
    </row>
    <row r="308" spans="1:6" x14ac:dyDescent="0.25">
      <c r="A308">
        <v>2</v>
      </c>
      <c r="B308">
        <v>113</v>
      </c>
      <c r="C308" t="s">
        <v>153</v>
      </c>
      <c r="D308" t="s">
        <v>39</v>
      </c>
      <c r="E308" t="s">
        <v>154</v>
      </c>
      <c r="F308">
        <v>1</v>
      </c>
    </row>
    <row r="309" spans="1:6" x14ac:dyDescent="0.25">
      <c r="A309">
        <v>3</v>
      </c>
      <c r="B309">
        <v>113</v>
      </c>
      <c r="C309" t="s">
        <v>153</v>
      </c>
      <c r="D309" t="s">
        <v>95</v>
      </c>
      <c r="E309" t="s">
        <v>154</v>
      </c>
      <c r="F309">
        <v>1</v>
      </c>
    </row>
    <row r="310" spans="1:6" x14ac:dyDescent="0.25">
      <c r="A310">
        <v>1</v>
      </c>
      <c r="B310">
        <v>114</v>
      </c>
      <c r="C310" t="s">
        <v>153</v>
      </c>
      <c r="D310" t="s">
        <v>20</v>
      </c>
      <c r="E310" t="s">
        <v>154</v>
      </c>
      <c r="F310">
        <v>1</v>
      </c>
    </row>
    <row r="311" spans="1:6" x14ac:dyDescent="0.25">
      <c r="A311">
        <v>2</v>
      </c>
      <c r="B311">
        <v>114</v>
      </c>
      <c r="C311" t="s">
        <v>153</v>
      </c>
      <c r="D311" t="s">
        <v>95</v>
      </c>
      <c r="E311" t="s">
        <v>154</v>
      </c>
      <c r="F311">
        <v>1</v>
      </c>
    </row>
    <row r="312" spans="1:6" x14ac:dyDescent="0.25">
      <c r="A312">
        <v>3</v>
      </c>
      <c r="B312">
        <v>114</v>
      </c>
      <c r="C312" t="s">
        <v>153</v>
      </c>
      <c r="D312" t="s">
        <v>45</v>
      </c>
      <c r="E312" t="s">
        <v>154</v>
      </c>
      <c r="F312">
        <v>1</v>
      </c>
    </row>
    <row r="313" spans="1:6" x14ac:dyDescent="0.25">
      <c r="A313">
        <v>1</v>
      </c>
      <c r="B313">
        <v>115</v>
      </c>
      <c r="C313" t="s">
        <v>153</v>
      </c>
      <c r="D313" t="s">
        <v>20</v>
      </c>
      <c r="E313" t="s">
        <v>154</v>
      </c>
      <c r="F313">
        <v>1</v>
      </c>
    </row>
    <row r="314" spans="1:6" x14ac:dyDescent="0.25">
      <c r="A314">
        <v>2</v>
      </c>
      <c r="B314">
        <v>115</v>
      </c>
      <c r="C314" t="s">
        <v>153</v>
      </c>
      <c r="D314" t="s">
        <v>95</v>
      </c>
      <c r="E314" t="s">
        <v>154</v>
      </c>
      <c r="F314">
        <v>1</v>
      </c>
    </row>
    <row r="315" spans="1:6" x14ac:dyDescent="0.25">
      <c r="A315">
        <v>3</v>
      </c>
      <c r="B315">
        <v>115</v>
      </c>
      <c r="C315" t="s">
        <v>153</v>
      </c>
      <c r="D315" t="s">
        <v>45</v>
      </c>
      <c r="E315" t="s">
        <v>154</v>
      </c>
      <c r="F315">
        <v>1</v>
      </c>
    </row>
    <row r="316" spans="1:6" x14ac:dyDescent="0.25">
      <c r="A316">
        <v>4</v>
      </c>
      <c r="B316">
        <v>115</v>
      </c>
      <c r="C316" t="s">
        <v>153</v>
      </c>
      <c r="D316" t="s">
        <v>97</v>
      </c>
      <c r="E316" t="s">
        <v>154</v>
      </c>
      <c r="F316">
        <v>1</v>
      </c>
    </row>
    <row r="317" spans="1:6" x14ac:dyDescent="0.25">
      <c r="A317">
        <v>5</v>
      </c>
      <c r="B317">
        <v>115</v>
      </c>
      <c r="C317" t="s">
        <v>153</v>
      </c>
      <c r="D317" t="s">
        <v>96</v>
      </c>
      <c r="E317" t="s">
        <v>154</v>
      </c>
      <c r="F317">
        <v>1</v>
      </c>
    </row>
    <row r="318" spans="1:6" x14ac:dyDescent="0.25">
      <c r="A318">
        <v>1</v>
      </c>
      <c r="B318">
        <v>116</v>
      </c>
      <c r="C318" t="s">
        <v>153</v>
      </c>
      <c r="D318" t="s">
        <v>45</v>
      </c>
      <c r="E318" t="s">
        <v>154</v>
      </c>
      <c r="F318">
        <v>1</v>
      </c>
    </row>
    <row r="319" spans="1:6" x14ac:dyDescent="0.25">
      <c r="A319">
        <v>1</v>
      </c>
      <c r="B319">
        <v>117</v>
      </c>
      <c r="C319" t="s">
        <v>153</v>
      </c>
      <c r="D319" t="s">
        <v>45</v>
      </c>
      <c r="E319" t="s">
        <v>154</v>
      </c>
      <c r="F319">
        <v>1</v>
      </c>
    </row>
    <row r="320" spans="1:6" x14ac:dyDescent="0.25">
      <c r="A320">
        <v>2</v>
      </c>
      <c r="B320">
        <v>117</v>
      </c>
      <c r="C320" t="s">
        <v>153</v>
      </c>
      <c r="D320" t="s">
        <v>20</v>
      </c>
      <c r="E320" t="s">
        <v>154</v>
      </c>
      <c r="F320">
        <v>1</v>
      </c>
    </row>
    <row r="321" spans="1:6" x14ac:dyDescent="0.25">
      <c r="A321">
        <v>1</v>
      </c>
      <c r="B321">
        <v>118</v>
      </c>
      <c r="C321" t="s">
        <v>153</v>
      </c>
      <c r="D321" t="s">
        <v>45</v>
      </c>
      <c r="E321" t="s">
        <v>154</v>
      </c>
      <c r="F321">
        <v>1</v>
      </c>
    </row>
    <row r="322" spans="1:6" x14ac:dyDescent="0.25">
      <c r="A322">
        <v>2</v>
      </c>
      <c r="B322">
        <v>118</v>
      </c>
      <c r="C322" t="s">
        <v>153</v>
      </c>
      <c r="D322" t="s">
        <v>20</v>
      </c>
      <c r="E322" t="s">
        <v>154</v>
      </c>
      <c r="F322">
        <v>1</v>
      </c>
    </row>
    <row r="323" spans="1:6" x14ac:dyDescent="0.25">
      <c r="A323">
        <v>3</v>
      </c>
      <c r="B323">
        <v>118</v>
      </c>
      <c r="C323" t="s">
        <v>153</v>
      </c>
      <c r="D323" t="s">
        <v>95</v>
      </c>
      <c r="E323" t="s">
        <v>154</v>
      </c>
      <c r="F323">
        <v>1</v>
      </c>
    </row>
    <row r="324" spans="1:6" x14ac:dyDescent="0.25">
      <c r="A324">
        <v>4</v>
      </c>
      <c r="B324">
        <v>118</v>
      </c>
      <c r="C324" t="s">
        <v>153</v>
      </c>
      <c r="D324" t="s">
        <v>20</v>
      </c>
      <c r="E324" t="s">
        <v>154</v>
      </c>
      <c r="F324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Network</vt:lpstr>
      <vt:lpstr>Make</vt:lpstr>
      <vt:lpstr>Store</vt:lpstr>
      <vt:lpstr>Move</vt:lpstr>
      <vt:lpstr>Deliver</vt:lpstr>
      <vt:lpstr>Berths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2025-12-12T11:14:16Z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