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netorg3699892.sharepoint.com/sites/OneForecast/Shared Documents/Projects/Cement Australia/13 Simulation/06 Python/"/>
    </mc:Choice>
  </mc:AlternateContent>
  <xr:revisionPtr revIDLastSave="131" documentId="13_ncr:1_{2588B9DF-2B1B-45CC-AAB1-3FBB567B5864}" xr6:coauthVersionLast="47" xr6:coauthVersionMax="47" xr10:uidLastSave="{E2ECC71C-8F63-4BD2-BB56-D9D89BFA326B}"/>
  <bookViews>
    <workbookView xWindow="28680" yWindow="-120" windowWidth="29040" windowHeight="17520" activeTab="2" xr2:uid="{1AEEAFBB-14E9-4895-ADA0-281549BC4509}"/>
  </bookViews>
  <sheets>
    <sheet name="Settings" sheetId="1" r:id="rId1"/>
    <sheet name="Network" sheetId="2" r:id="rId2"/>
    <sheet name="Make" sheetId="3" r:id="rId3"/>
    <sheet name="Store" sheetId="4" r:id="rId4"/>
    <sheet name="Deliver" sheetId="6" r:id="rId5"/>
    <sheet name="Move_TRAIN" sheetId="9" r:id="rId6"/>
    <sheet name="Move_SHIP" sheetId="10" r:id="rId7"/>
    <sheet name="SHIP_BERTHS" sheetId="11" r:id="rId8"/>
    <sheet name="SHIP_ROUTES" sheetId="12" r:id="rId9"/>
    <sheet name="SHIP_DISTANCES" sheetId="13" r:id="rId10"/>
  </sheets>
  <definedNames>
    <definedName name="_xlnm._FilterDatabase" localSheetId="4" hidden="1">Deliver!$A$1:$E$23</definedName>
    <definedName name="_xlnm._FilterDatabase" localSheetId="1" hidden="1">Network!$B$1:$K$109</definedName>
    <definedName name="_xlnm._FilterDatabase" localSheetId="3" hidden="1">Store!$A$1:$H$35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3" i="6" l="1"/>
  <c r="D22" i="6"/>
  <c r="D21" i="6"/>
  <c r="D20" i="6"/>
  <c r="D19" i="6"/>
  <c r="D18" i="6"/>
  <c r="D17" i="6"/>
  <c r="D16" i="6"/>
  <c r="D15" i="6"/>
  <c r="D14" i="6"/>
  <c r="D13" i="6"/>
  <c r="D12" i="6"/>
  <c r="D11" i="6"/>
  <c r="D10" i="6"/>
  <c r="D9" i="6"/>
  <c r="D8" i="6"/>
  <c r="D7" i="6"/>
  <c r="D6" i="6"/>
  <c r="D5" i="6"/>
  <c r="D4" i="6"/>
  <c r="D3" i="6"/>
  <c r="D2" i="6"/>
  <c r="P68" i="2"/>
  <c r="P67" i="2" l="1"/>
  <c r="M67" i="2"/>
  <c r="P66" i="2"/>
  <c r="M66" i="2"/>
  <c r="P65" i="2"/>
  <c r="M65" i="2"/>
  <c r="P64" i="2"/>
  <c r="N64" i="2"/>
  <c r="M64" i="2"/>
  <c r="P63" i="2"/>
  <c r="N63" i="2"/>
  <c r="M63" i="2"/>
  <c r="P62" i="2"/>
  <c r="N62" i="2"/>
  <c r="M62" i="2"/>
  <c r="P61" i="2"/>
  <c r="N61" i="2"/>
  <c r="M61" i="2"/>
  <c r="P60" i="2"/>
  <c r="N60" i="2"/>
  <c r="M60" i="2"/>
  <c r="P59" i="2"/>
  <c r="N59" i="2"/>
  <c r="M59" i="2"/>
  <c r="P58" i="2"/>
  <c r="N58" i="2"/>
  <c r="M58" i="2"/>
  <c r="P57" i="2"/>
  <c r="N57" i="2"/>
  <c r="M57" i="2"/>
  <c r="P56" i="2"/>
  <c r="N56" i="2"/>
  <c r="M56" i="2"/>
  <c r="P55" i="2"/>
  <c r="N55" i="2"/>
  <c r="M55" i="2"/>
  <c r="P54" i="2"/>
  <c r="N54" i="2"/>
  <c r="M54" i="2"/>
  <c r="P53" i="2"/>
  <c r="N53" i="2"/>
  <c r="M53" i="2"/>
  <c r="P52" i="2"/>
  <c r="N52" i="2"/>
  <c r="M52" i="2"/>
  <c r="P51" i="2"/>
  <c r="N51" i="2"/>
  <c r="M51" i="2"/>
  <c r="P50" i="2"/>
  <c r="N50" i="2"/>
  <c r="M50" i="2"/>
  <c r="P49" i="2"/>
  <c r="N49" i="2"/>
  <c r="M49" i="2"/>
  <c r="P48" i="2"/>
  <c r="N48" i="2"/>
  <c r="M48" i="2"/>
  <c r="P47" i="2"/>
  <c r="N47" i="2"/>
  <c r="M47" i="2"/>
  <c r="P46" i="2"/>
  <c r="N46" i="2"/>
  <c r="M46" i="2"/>
  <c r="P45" i="2"/>
  <c r="N45" i="2"/>
  <c r="M45" i="2"/>
  <c r="P44" i="2"/>
  <c r="N44" i="2"/>
  <c r="M44" i="2"/>
  <c r="P43" i="2"/>
  <c r="N43" i="2"/>
  <c r="M43" i="2"/>
  <c r="P42" i="2"/>
  <c r="N42" i="2"/>
  <c r="M42" i="2"/>
  <c r="P41" i="2"/>
  <c r="N41" i="2"/>
  <c r="M41" i="2"/>
  <c r="P40" i="2"/>
  <c r="N40" i="2"/>
  <c r="M40" i="2"/>
  <c r="P39" i="2"/>
  <c r="N39" i="2"/>
  <c r="M39" i="2"/>
  <c r="P38" i="2"/>
  <c r="N38" i="2"/>
  <c r="M38" i="2"/>
  <c r="P37" i="2"/>
  <c r="N37" i="2"/>
  <c r="M37" i="2"/>
  <c r="P36" i="2"/>
  <c r="N36" i="2"/>
  <c r="M36" i="2"/>
  <c r="P35" i="2"/>
  <c r="N35" i="2"/>
  <c r="M35" i="2"/>
  <c r="P34" i="2"/>
  <c r="N34" i="2"/>
  <c r="M34" i="2"/>
  <c r="P33" i="2"/>
  <c r="N33" i="2"/>
  <c r="M33" i="2"/>
  <c r="P32" i="2"/>
  <c r="N32" i="2"/>
  <c r="M32" i="2"/>
  <c r="P31" i="2"/>
  <c r="N31" i="2"/>
  <c r="M31" i="2"/>
  <c r="P30" i="2"/>
  <c r="N30" i="2"/>
  <c r="M30" i="2"/>
  <c r="P29" i="2"/>
  <c r="N29" i="2"/>
  <c r="M29" i="2"/>
  <c r="P28" i="2"/>
  <c r="N28" i="2"/>
  <c r="M28" i="2"/>
  <c r="P27" i="2"/>
  <c r="N27" i="2"/>
  <c r="M27" i="2"/>
  <c r="P26" i="2"/>
  <c r="N26" i="2"/>
  <c r="M26" i="2"/>
  <c r="P25" i="2"/>
  <c r="N25" i="2"/>
  <c r="M25" i="2"/>
  <c r="P24" i="2"/>
  <c r="N24" i="2"/>
  <c r="M24" i="2"/>
  <c r="P23" i="2"/>
  <c r="N23" i="2"/>
  <c r="M23" i="2"/>
  <c r="P22" i="2"/>
  <c r="N22" i="2"/>
  <c r="M22" i="2"/>
  <c r="P21" i="2"/>
  <c r="N21" i="2"/>
  <c r="M21" i="2"/>
  <c r="P20" i="2"/>
  <c r="N20" i="2"/>
  <c r="M20" i="2"/>
  <c r="P19" i="2"/>
  <c r="N19" i="2"/>
  <c r="M19" i="2"/>
  <c r="P18" i="2"/>
  <c r="N18" i="2"/>
  <c r="M18" i="2"/>
  <c r="P17" i="2"/>
  <c r="N17" i="2"/>
  <c r="M17" i="2"/>
  <c r="P16" i="2"/>
  <c r="N16" i="2"/>
  <c r="M16" i="2"/>
  <c r="P15" i="2"/>
  <c r="N15" i="2"/>
  <c r="M15" i="2"/>
  <c r="P14" i="2"/>
  <c r="N14" i="2"/>
  <c r="M14" i="2"/>
  <c r="P13" i="2"/>
  <c r="N13" i="2"/>
  <c r="M13" i="2"/>
  <c r="P12" i="2"/>
  <c r="N12" i="2"/>
  <c r="M12" i="2"/>
  <c r="P11" i="2"/>
  <c r="N11" i="2"/>
  <c r="M11" i="2"/>
  <c r="P10" i="2"/>
  <c r="N10" i="2"/>
  <c r="M10" i="2"/>
  <c r="P9" i="2"/>
  <c r="N9" i="2"/>
  <c r="M9" i="2"/>
  <c r="P8" i="2"/>
  <c r="N8" i="2"/>
  <c r="M8" i="2"/>
  <c r="P7" i="2"/>
  <c r="N7" i="2"/>
  <c r="M7" i="2"/>
  <c r="P6" i="2"/>
  <c r="N6" i="2"/>
  <c r="M6" i="2"/>
  <c r="P5" i="2"/>
  <c r="N5" i="2"/>
  <c r="M5" i="2"/>
  <c r="P4" i="2"/>
  <c r="N4" i="2"/>
  <c r="M4" i="2"/>
  <c r="P3" i="2"/>
  <c r="A3" i="2" s="1" a="1"/>
  <c r="A3" i="2" s="1"/>
  <c r="A6" i="2" s="1" a="1"/>
  <c r="A6" i="2" s="1"/>
  <c r="N3" i="2"/>
  <c r="M3" i="2"/>
  <c r="P2" i="2"/>
  <c r="N2" i="2"/>
  <c r="M2" i="2"/>
  <c r="A4" i="2" l="1" a="1"/>
  <c r="A4" i="2" s="1"/>
  <c r="A5" i="2" a="1"/>
  <c r="A5" i="2" s="1"/>
  <c r="A18" i="2" a="1"/>
  <c r="A18" i="2" s="1"/>
  <c r="A19" i="2" s="1" a="1"/>
  <c r="A19" i="2" s="1"/>
  <c r="A20" i="2" s="1" a="1"/>
  <c r="A20" i="2" s="1"/>
  <c r="A52" i="2" a="1"/>
  <c r="A52" i="2" s="1"/>
  <c r="A53" i="2" s="1" a="1"/>
  <c r="A53" i="2" s="1"/>
  <c r="A62" i="2" a="1"/>
  <c r="A62" i="2" s="1"/>
  <c r="A63" i="2" s="1" a="1"/>
  <c r="A63" i="2" s="1"/>
  <c r="A36" i="2" a="1"/>
  <c r="A36" i="2" s="1"/>
  <c r="A37" i="2" s="1" a="1"/>
  <c r="A37" i="2" s="1"/>
  <c r="A58" i="2" a="1"/>
  <c r="A58" i="2" s="1"/>
  <c r="A59" i="2" s="1" a="1"/>
  <c r="A59" i="2" s="1"/>
  <c r="A64" i="2" a="1"/>
  <c r="A64" i="2" s="1"/>
  <c r="A65" i="2" s="1" a="1"/>
  <c r="A65" i="2" s="1"/>
  <c r="A44" i="2" a="1"/>
  <c r="A44" i="2" s="1"/>
  <c r="A45" i="2" s="1" a="1"/>
  <c r="A45" i="2" s="1"/>
  <c r="A56" i="2" a="1"/>
  <c r="A56" i="2" s="1"/>
  <c r="A57" i="2" s="1" a="1"/>
  <c r="A57" i="2" s="1"/>
  <c r="A54" i="2" a="1"/>
  <c r="A54" i="2" s="1"/>
  <c r="A55" i="2" s="1" a="1"/>
  <c r="A55" i="2" s="1"/>
  <c r="A33" i="2" a="1"/>
  <c r="A33" i="2" s="1"/>
  <c r="A34" i="2" s="1" a="1"/>
  <c r="A34" i="2" s="1"/>
  <c r="A35" i="2" s="1" a="1"/>
  <c r="A35" i="2" s="1"/>
  <c r="A60" i="2" a="1"/>
  <c r="A60" i="2" s="1"/>
  <c r="A61" i="2" s="1" a="1"/>
  <c r="A61" i="2" s="1"/>
  <c r="A66" i="2" a="1"/>
  <c r="A66" i="2" s="1"/>
  <c r="A67" i="2" s="1" a="1"/>
  <c r="A67" i="2" s="1"/>
  <c r="A29" i="2" a="1"/>
  <c r="A29" i="2" s="1"/>
  <c r="A30" i="2" s="1" a="1"/>
  <c r="A30" i="2" s="1"/>
  <c r="A31" i="2" s="1" a="1"/>
  <c r="A31" i="2" s="1"/>
  <c r="O25" i="2"/>
  <c r="O36" i="2"/>
  <c r="O46" i="2"/>
  <c r="O42" i="2"/>
  <c r="O62" i="2"/>
  <c r="O9" i="2"/>
  <c r="O6" i="2"/>
  <c r="O63" i="2"/>
  <c r="O55" i="2"/>
  <c r="O49" i="2"/>
  <c r="O28" i="2"/>
  <c r="O47" i="2"/>
  <c r="O12" i="2"/>
  <c r="O2" i="2"/>
  <c r="O23" i="2"/>
  <c r="O33" i="2"/>
  <c r="O48" i="2"/>
  <c r="O53" i="2"/>
  <c r="O58" i="2"/>
  <c r="O18" i="2"/>
  <c r="O57" i="2"/>
  <c r="O13" i="2"/>
  <c r="O32" i="2"/>
  <c r="O7" i="2"/>
  <c r="O34" i="2"/>
  <c r="O39" i="2"/>
  <c r="O44" i="2"/>
  <c r="O59" i="2"/>
  <c r="O22" i="2"/>
  <c r="O52" i="2"/>
  <c r="O45" i="2"/>
  <c r="O15" i="2"/>
  <c r="O5" i="2"/>
  <c r="O61" i="2"/>
  <c r="O37" i="2"/>
  <c r="O29" i="2"/>
  <c r="O64" i="2"/>
  <c r="O14" i="2"/>
  <c r="O4" i="2"/>
  <c r="O60" i="2"/>
  <c r="O20" i="2"/>
  <c r="O50" i="2"/>
  <c r="O10" i="2"/>
  <c r="O41" i="2"/>
  <c r="O21" i="2"/>
  <c r="O26" i="2"/>
  <c r="O31" i="2"/>
  <c r="O51" i="2"/>
  <c r="O56" i="2"/>
  <c r="O40" i="2"/>
  <c r="O8" i="2"/>
  <c r="O16" i="2"/>
  <c r="O24" i="2"/>
  <c r="O19" i="2"/>
  <c r="O30" i="2"/>
  <c r="O17" i="2"/>
  <c r="O11" i="2"/>
  <c r="O38" i="2"/>
  <c r="O27" i="2"/>
  <c r="O35" i="2"/>
  <c r="O43" i="2"/>
  <c r="O54" i="2"/>
  <c r="O3" i="2"/>
  <c r="A7" i="2" l="1" a="1"/>
  <c r="A7" i="2" s="1"/>
  <c r="A8" i="2" s="1" a="1"/>
  <c r="A8" i="2" s="1"/>
  <c r="A9" i="2" s="1" a="1"/>
  <c r="A9" i="2" s="1"/>
  <c r="A11" i="2" s="1" a="1"/>
  <c r="A11" i="2" s="1"/>
  <c r="A21" i="2" a="1"/>
  <c r="A21" i="2" s="1"/>
  <c r="A46" i="2" a="1"/>
  <c r="A46" i="2" s="1"/>
  <c r="A47" i="2" s="1" a="1"/>
  <c r="A47" i="2" s="1"/>
  <c r="A48" i="2" s="1" a="1"/>
  <c r="A48" i="2" s="1"/>
  <c r="A32" i="2" a="1"/>
  <c r="A32" i="2" s="1"/>
  <c r="A39" i="2" a="1"/>
  <c r="A39" i="2" s="1"/>
  <c r="A38" i="2" a="1"/>
  <c r="A38" i="2" s="1"/>
  <c r="A40" i="2" s="1" a="1"/>
  <c r="A40" i="2" s="1"/>
  <c r="A41" i="2" s="1" a="1"/>
  <c r="A41" i="2" s="1"/>
  <c r="A10" i="2" l="1" a="1"/>
  <c r="A10" i="2" s="1"/>
  <c r="A12" i="2" s="1" a="1"/>
  <c r="A12" i="2" s="1"/>
  <c r="A14" i="2" s="1" a="1"/>
  <c r="A14" i="2" s="1"/>
  <c r="A22" i="2" a="1"/>
  <c r="A22" i="2" s="1"/>
  <c r="A24" i="2" a="1"/>
  <c r="A24" i="2" s="1"/>
  <c r="A23" i="2" a="1"/>
  <c r="A23" i="2" s="1"/>
  <c r="A42" i="2" a="1"/>
  <c r="A42" i="2" s="1"/>
  <c r="A43" i="2" s="1" a="1"/>
  <c r="A43" i="2" s="1"/>
  <c r="A49" i="2" a="1"/>
  <c r="A49" i="2" s="1"/>
  <c r="A50" i="2" a="1"/>
  <c r="A50" i="2" s="1"/>
  <c r="A15" i="2" l="1" a="1"/>
  <c r="A15" i="2" s="1"/>
  <c r="A25" i="2" a="1"/>
  <c r="A25" i="2" s="1"/>
  <c r="A26" i="2" s="1" a="1"/>
  <c r="A26" i="2" s="1"/>
  <c r="A27" i="2" s="1" a="1"/>
  <c r="A27" i="2" s="1"/>
  <c r="A16" i="2" a="1"/>
  <c r="A16" i="2" s="1"/>
  <c r="A13" i="2" a="1"/>
  <c r="A13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<sst xmlns="http://schemas.openxmlformats.org/spreadsheetml/2006/main" count="1616" uniqueCount="173">
  <si>
    <t>Setting</t>
  </si>
  <si>
    <t>Value</t>
  </si>
  <si>
    <t>Number of Simulation Runs</t>
  </si>
  <si>
    <t>Modeling Horizon (#Days)</t>
  </si>
  <si>
    <t>Time Buckets (Days, Half Days, Hours)</t>
  </si>
  <si>
    <t>Hours</t>
  </si>
  <si>
    <t>Level</t>
  </si>
  <si>
    <t>Product Class</t>
  </si>
  <si>
    <t>Location</t>
  </si>
  <si>
    <t>Equipment Name</t>
  </si>
  <si>
    <t>Input</t>
  </si>
  <si>
    <t>Process</t>
  </si>
  <si>
    <t>Output</t>
  </si>
  <si>
    <t>Next Process</t>
  </si>
  <si>
    <t>Next Location</t>
  </si>
  <si>
    <t>Next Equipment</t>
  </si>
  <si>
    <t>Seq</t>
  </si>
  <si>
    <t>From</t>
  </si>
  <si>
    <t>To</t>
  </si>
  <si>
    <t>GP</t>
  </si>
  <si>
    <t>Gladstone</t>
  </si>
  <si>
    <t>K2</t>
  </si>
  <si>
    <t>None</t>
  </si>
  <si>
    <t>Make</t>
  </si>
  <si>
    <t>CL</t>
  </si>
  <si>
    <t>Store</t>
  </si>
  <si>
    <t>CL_STORE</t>
  </si>
  <si>
    <t>*</t>
  </si>
  <si>
    <t>Move</t>
  </si>
  <si>
    <t>SHIP</t>
  </si>
  <si>
    <t>Bulwer Island</t>
  </si>
  <si>
    <t>CM1</t>
  </si>
  <si>
    <t>CM2</t>
  </si>
  <si>
    <t>GP_STORE</t>
  </si>
  <si>
    <t>TRAIN</t>
  </si>
  <si>
    <t>Deliver</t>
  </si>
  <si>
    <t>TRUCK</t>
  </si>
  <si>
    <t>Townsville</t>
  </si>
  <si>
    <t>Port Kembla</t>
  </si>
  <si>
    <t>Newcastle</t>
  </si>
  <si>
    <t>Mackay</t>
  </si>
  <si>
    <t>Railton</t>
  </si>
  <si>
    <t>R1</t>
  </si>
  <si>
    <t>CM4</t>
  </si>
  <si>
    <t>CM5</t>
  </si>
  <si>
    <t>Melbourne</t>
  </si>
  <si>
    <t>CL_STORE_I</t>
  </si>
  <si>
    <t>CM10</t>
  </si>
  <si>
    <t>CM11</t>
  </si>
  <si>
    <t>VRM</t>
  </si>
  <si>
    <t>Albury</t>
  </si>
  <si>
    <t>Wagga</t>
  </si>
  <si>
    <t>Clyde</t>
  </si>
  <si>
    <t>FA</t>
  </si>
  <si>
    <t>FA_STORE</t>
  </si>
  <si>
    <t>Mean Production Rate (Tons/hr)</t>
  </si>
  <si>
    <t>Std Dev of Production Rate (Tons/Hr)</t>
  </si>
  <si>
    <t>Planned Maintenance Dates (Days of year)</t>
  </si>
  <si>
    <t>Unplanned downtime %</t>
  </si>
  <si>
    <t>Consumption %</t>
  </si>
  <si>
    <t>Silo Max Capacity</t>
  </si>
  <si>
    <t>Silo Opening Stock (High)</t>
  </si>
  <si>
    <t>Silo Opening Stock (Low)</t>
  </si>
  <si>
    <t>SG</t>
  </si>
  <si>
    <t>GBFS_STORE</t>
  </si>
  <si>
    <t>GBFS</t>
  </si>
  <si>
    <t>SG_STORE</t>
  </si>
  <si>
    <t>Tennyson</t>
  </si>
  <si>
    <t>Chullora</t>
  </si>
  <si>
    <t>Route ID</t>
  </si>
  <si>
    <t>Devonport</t>
  </si>
  <si>
    <t>Annual Demand</t>
  </si>
  <si>
    <t>60kt in shed can only load at 500t/h</t>
  </si>
  <si>
    <t>load 750t/h, Can also hold 10kt FAB, load rate 500t/h</t>
  </si>
  <si>
    <t xml:space="preserve">* </t>
  </si>
  <si>
    <t>Not key for this model</t>
  </si>
  <si>
    <t>1 Clinker Silo 80kt, unload rate 400t/h</t>
  </si>
  <si>
    <t>unload rate 500t/h</t>
  </si>
  <si>
    <t>unload rate 400t/h</t>
  </si>
  <si>
    <t>Confirm With Peter</t>
  </si>
  <si>
    <t>Unconstrained for this model, can load instantly</t>
  </si>
  <si>
    <t>unload rate 700t/h</t>
  </si>
  <si>
    <t>unload rate 700t/h, 4*2.5 plus 12 kt shed (can only do 10 FA)</t>
  </si>
  <si>
    <t>unload rate 500t/h, Silo D 7 cell - 25T available for CA, 1x15 SG and 2x5 FAV/SG</t>
  </si>
  <si>
    <t>Product</t>
  </si>
  <si>
    <t>load rate 1000t/h, Silo Z</t>
  </si>
  <si>
    <t>=IF(ISNA(XLOOKUP(P3,$P$2:P2,$A$2:A2)),IF(COUNTIFS($P$2:P3,P3)=1,IF(COUNTIFS($C$2:C2,C3)=0,1,MAXIFS($A$2:A2,$C$2:C2,C3)+1),A2),XLOOKUP(P3,$P$2:P2,$A$2:A2))</t>
  </si>
  <si>
    <t>GP_STORE_ST</t>
  </si>
  <si>
    <t>GP_STORE_Q</t>
  </si>
  <si>
    <t>Notes</t>
  </si>
  <si>
    <t>Demand per Location/Hour</t>
  </si>
  <si>
    <t># Berths</t>
  </si>
  <si>
    <t>unload rate 700t/h, Multi Cell Silo (6 Cells)</t>
  </si>
  <si>
    <t>TBD - Model Output?? 45kt between GP and FA</t>
  </si>
  <si>
    <t>load only 500t/h, Cement/SG, Double Check</t>
  </si>
  <si>
    <t>FA_SUPPLY</t>
  </si>
  <si>
    <t>Unconstrained supply for this model, can load 350t/h</t>
  </si>
  <si>
    <t>FA_EXPSILO_STORE</t>
  </si>
  <si>
    <t>Load Rate (ton/hr)</t>
  </si>
  <si>
    <t>Unload Rate (ton/hr)</t>
  </si>
  <si>
    <t>Origin Location</t>
  </si>
  <si>
    <t>Destination Location</t>
  </si>
  <si>
    <t>Origin Store</t>
  </si>
  <si>
    <t>Destination Store</t>
  </si>
  <si>
    <t>Distance</t>
  </si>
  <si>
    <t># Trains</t>
  </si>
  <si>
    <t># Carraiges</t>
  </si>
  <si>
    <t># Carraige Capacity (ton)</t>
  </si>
  <si>
    <t>Avg Speed - Loaded (km/hr)</t>
  </si>
  <si>
    <t>Avg Speed - Empty (km/hr)</t>
  </si>
  <si>
    <t>Route Group</t>
  </si>
  <si>
    <t># Vessels</t>
  </si>
  <si>
    <t>Route avg Speed (knots)</t>
  </si>
  <si>
    <t>Probability Berth Occupied %</t>
  </si>
  <si>
    <t>Pilot In (Hours)</t>
  </si>
  <si>
    <t>Pilot Out (Hours)</t>
  </si>
  <si>
    <t>Product 1 Load</t>
  </si>
  <si>
    <t>Product 1 Store</t>
  </si>
  <si>
    <t>Product 2 Load</t>
  </si>
  <si>
    <t>Product 2 Store</t>
  </si>
  <si>
    <t>Destination 1 Location</t>
  </si>
  <si>
    <t>Product 1 Unload</t>
  </si>
  <si>
    <t>Product 1 Unload Store</t>
  </si>
  <si>
    <t>Product 2 Unload</t>
  </si>
  <si>
    <t>Product 2 Unload Store</t>
  </si>
  <si>
    <t>Destination 2 Location</t>
  </si>
  <si>
    <t xml:space="preserve">Product 3 Load </t>
  </si>
  <si>
    <t>Product 3 Store</t>
  </si>
  <si>
    <t>Destination 3 Location</t>
  </si>
  <si>
    <t>Destination 3 Unload</t>
  </si>
  <si>
    <t>Destination 3 Store</t>
  </si>
  <si>
    <t>Return Location</t>
  </si>
  <si>
    <t>Distance (nM)</t>
  </si>
  <si>
    <t>South</t>
  </si>
  <si>
    <t>North</t>
  </si>
  <si>
    <t>Field</t>
  </si>
  <si>
    <t>Route 1</t>
  </si>
  <si>
    <t>CL_Store</t>
  </si>
  <si>
    <t>Route 2</t>
  </si>
  <si>
    <t>Route 3</t>
  </si>
  <si>
    <t>Route 4</t>
  </si>
  <si>
    <t>Route 5</t>
  </si>
  <si>
    <t>Route 6</t>
  </si>
  <si>
    <t>Route 7</t>
  </si>
  <si>
    <t>Route 8</t>
  </si>
  <si>
    <t>Route 9</t>
  </si>
  <si>
    <t>Route 10</t>
  </si>
  <si>
    <t>Osborne</t>
  </si>
  <si>
    <t>Route 11</t>
  </si>
  <si>
    <t>Import_GBFS</t>
  </si>
  <si>
    <t>Import_CL</t>
  </si>
  <si>
    <t>Location 1</t>
  </si>
  <si>
    <t>Location 2</t>
  </si>
  <si>
    <t>Route 12</t>
  </si>
  <si>
    <t>Route 13</t>
  </si>
  <si>
    <t>Load Rate (tons/hr)</t>
  </si>
  <si>
    <t>Unload Rate (tons/hr)</t>
  </si>
  <si>
    <t>Demand Store</t>
  </si>
  <si>
    <t>#Hulls</t>
  </si>
  <si>
    <t>Payload per Hull</t>
  </si>
  <si>
    <t>* Only Applies to SHIPPING</t>
  </si>
  <si>
    <t>No Shipping</t>
  </si>
  <si>
    <t>Silo S&amp;T, No Shipping</t>
  </si>
  <si>
    <t>Silo Q, No Shipping</t>
  </si>
  <si>
    <t>&lt;- This is part of North, Duplicate so data prep will ignore this line</t>
  </si>
  <si>
    <t>Route 14</t>
  </si>
  <si>
    <t>Route 15</t>
  </si>
  <si>
    <t>Route 16</t>
  </si>
  <si>
    <t>250-274</t>
  </si>
  <si>
    <t>1-10,53,96,139,182,225,268,311</t>
  </si>
  <si>
    <t>12-21,64,107,150,193,236,279,322</t>
  </si>
  <si>
    <t>1-5,53,96-100,148,191,234,277,320,363</t>
  </si>
  <si>
    <t>95-120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</si>
</sst>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6" x14ac:knownFonts="1">
    <font>
      <sz val="11"/>
      <color theme="1"/>
      <name val="Aptos Narrow"/>
      <family val="2"/>
      <scheme val="minor"/>
    </font>
    <font>
      <b/>
      <sz val="11"/>
      <name val="Aptos Narrow"/>
      <family val="2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8"/>
      <name val="Aptos Narrow"/>
      <family val="2"/>
      <scheme val="minor"/>
    </font>
    <font>
      <b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92D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</borders>
  <cellStyleXfs count="3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20">
    <xf numFmtId="0" fontId="0" fillId="0" borderId="0" xfId="0"/>
    <xf numFmtId="0" fontId="0" fillId="2" borderId="0" xfId="0" applyFill="1"/>
    <xf numFmtId="0" fontId="1" fillId="0" borderId="1" xfId="0" applyFont="1" applyBorder="1" applyAlignment="1">
      <alignment horizontal="center" vertical="top"/>
    </xf>
    <xf numFmtId="164" fontId="0" fillId="0" borderId="0" xfId="1" applyNumberFormat="1" applyFont="1"/>
    <xf numFmtId="0" fontId="0" fillId="0" borderId="0" xfId="0" quotePrefix="1"/>
    <xf numFmtId="0" fontId="0" fillId="0" borderId="0" xfId="0" applyAlignment="1">
      <alignment horizontal="right"/>
    </xf>
    <xf numFmtId="0" fontId="1" fillId="0" borderId="1" xfId="0" applyFont="1" applyBorder="1" applyAlignment="1">
      <alignment horizontal="center" vertical="top" wrapText="1"/>
    </xf>
    <xf numFmtId="0" fontId="1" fillId="0" borderId="0" xfId="0" applyFont="1" applyAlignment="1">
      <alignment horizontal="center" vertical="top"/>
    </xf>
    <xf numFmtId="43" fontId="0" fillId="0" borderId="0" xfId="1" applyFont="1"/>
    <xf numFmtId="164" fontId="0" fillId="2" borderId="0" xfId="1" applyNumberFormat="1" applyFont="1" applyFill="1"/>
    <xf numFmtId="10" fontId="0" fillId="0" borderId="0" xfId="2" applyNumberFormat="1" applyFont="1"/>
    <xf numFmtId="0" fontId="1" fillId="0" borderId="2" xfId="0" applyFont="1" applyBorder="1" applyAlignment="1">
      <alignment horizontal="center" vertical="top" wrapText="1"/>
    </xf>
    <xf numFmtId="0" fontId="3" fillId="0" borderId="1" xfId="0" applyFont="1" applyBorder="1" applyAlignment="1">
      <alignment horizontal="center" vertical="top"/>
    </xf>
    <xf numFmtId="0" fontId="1" fillId="3" borderId="1" xfId="0" applyFont="1" applyFill="1" applyBorder="1" applyAlignment="1">
      <alignment horizontal="center" vertical="top" wrapText="1"/>
    </xf>
    <xf numFmtId="0" fontId="0" fillId="3" borderId="0" xfId="0" applyFill="1"/>
    <xf numFmtId="0" fontId="0" fillId="3" borderId="0" xfId="0" applyFill="1" applyAlignment="1">
      <alignment vertical="top"/>
    </xf>
    <xf numFmtId="0" fontId="0" fillId="4" borderId="0" xfId="0" applyFill="1"/>
    <xf numFmtId="2" fontId="0" fillId="0" borderId="0" xfId="0" applyNumberFormat="1"/>
    <xf numFmtId="0" fontId="5" fillId="0" borderId="1" xfId="0" applyFont="1" applyBorder="1" applyAlignment="1">
      <alignment horizontal="center" vertical="top"/>
    </xf>
    <xf numFmtId="49" fontId="0" fillId="0" borderId="0" xfId="0" applyNumberFormat="1"/>
  </cellXfs>
  <cellStyles count="3">
    <cellStyle name="Comma" xfId="1" builtinId="3"/>
    <cellStyle name="Normal" xfId="0" builtinId="0"/>
    <cellStyle name="Percent" xfId="2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"/>
  <sheetViews>
    <sheetView workbookViewId="0"/>
  </sheetViews>
  <sheetFormatPr defaultRowHeight="15" x14ac:dyDescent="0.25"/>
  <cols>
    <col min="1" max="1" width="35.140625" bestFit="1" customWidth="1"/>
  </cols>
  <sheetData>
    <row r="1" spans="1:2" x14ac:dyDescent="0.25">
      <c r="A1" s="2" t="s">
        <v>0</v>
      </c>
      <c r="B1" s="2" t="s">
        <v>1</v>
      </c>
    </row>
    <row r="2" spans="1:2" x14ac:dyDescent="0.25">
      <c r="A2" t="s">
        <v>2</v>
      </c>
      <c r="B2">
        <v>500</v>
      </c>
    </row>
    <row r="3" spans="1:2" x14ac:dyDescent="0.25">
      <c r="A3" t="s">
        <v>3</v>
      </c>
      <c r="B3">
        <v>365</v>
      </c>
    </row>
    <row r="4" spans="1:2" x14ac:dyDescent="0.25">
      <c r="A4" t="s">
        <v>4</v>
      </c>
      <c r="B4" s="5" t="s">
        <v>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109"/>
  <sheetViews>
    <sheetView topLeftCell="A54" workbookViewId="0">
      <selection activeCell="C78" sqref="C78"/>
    </sheetView>
  </sheetViews>
  <sheetFormatPr defaultRowHeight="15" x14ac:dyDescent="0.25"/>
  <cols>
    <col min="2" max="2" width="16.85546875" customWidth="1"/>
    <col min="3" max="3" width="13.140625" bestFit="1" customWidth="1"/>
    <col min="4" max="4" width="18.5703125" bestFit="1" customWidth="1"/>
    <col min="5" max="5" width="8.28515625" customWidth="1"/>
    <col min="6" max="6" width="10.28515625" bestFit="1" customWidth="1"/>
    <col min="7" max="7" width="9.28515625" bestFit="1" customWidth="1"/>
    <col min="8" max="8" width="14.5703125" bestFit="1" customWidth="1"/>
    <col min="9" max="9" width="15.140625" bestFit="1" customWidth="1"/>
    <col min="10" max="10" width="17.140625" bestFit="1" customWidth="1"/>
    <col min="11" max="11" width="14.85546875" customWidth="1"/>
    <col min="12" max="12" width="9.140625" customWidth="1"/>
    <col min="13" max="13" width="30" customWidth="1"/>
    <col min="14" max="14" width="29.28515625" customWidth="1"/>
    <col min="15" max="19" width="9.140625" customWidth="1"/>
    <col min="20" max="20" width="9.140625" collapsed="1"/>
  </cols>
  <sheetData>
    <row r="1" spans="1:19" x14ac:dyDescent="0.25">
      <c r="A1" t="s">
        <v>6</v>
      </c>
      <c r="B1" t="s">
        <v>7</v>
      </c>
      <c r="C1" t="s">
        <v>8</v>
      </c>
      <c r="D1" t="s">
        <v>9</v>
      </c>
      <c r="E1" t="s">
        <v>10</v>
      </c>
      <c r="F1" t="s">
        <v>11</v>
      </c>
      <c r="G1" t="s">
        <v>12</v>
      </c>
      <c r="H1" t="s">
        <v>13</v>
      </c>
      <c r="I1" t="s">
        <v>14</v>
      </c>
      <c r="J1" t="s">
        <v>15</v>
      </c>
      <c r="K1" t="s">
        <v>16</v>
      </c>
      <c r="M1" t="s">
        <v>17</v>
      </c>
      <c r="N1" t="s">
        <v>18</v>
      </c>
    </row>
    <row r="2" spans="1:19" x14ac:dyDescent="0.25">
      <c r="A2" s="1">
        <v>1</v>
      </c>
      <c r="B2" t="s">
        <v>19</v>
      </c>
      <c r="C2" t="s">
        <v>20</v>
      </c>
      <c r="D2" t="s">
        <v>21</v>
      </c>
      <c r="E2" t="s">
        <v>22</v>
      </c>
      <c r="F2" t="s">
        <v>23</v>
      </c>
      <c r="G2" t="s">
        <v>24</v>
      </c>
      <c r="H2" t="s">
        <v>25</v>
      </c>
      <c r="I2" t="s">
        <v>20</v>
      </c>
      <c r="J2" t="s">
        <v>26</v>
      </c>
      <c r="K2">
        <v>1</v>
      </c>
      <c r="L2" s="1" t="s">
        <v>27</v>
      </c>
      <c r="M2" s="1" t="str">
        <f t="shared" ref="M2:M33" si="0">C2&amp;F2&amp;D2&amp;E2</f>
        <v>GladstoneMakeK2None</v>
      </c>
      <c r="N2" s="1" t="str">
        <f t="shared" ref="N2:N33" si="1">I2&amp;H2&amp;J2&amp;G2</f>
        <v>GladstoneStoreCL_STORECL</v>
      </c>
      <c r="O2" s="1">
        <f t="shared" ref="O2:O33" si="2">COUNTIFS(M:M,N2)</f>
        <v>3</v>
      </c>
      <c r="P2" s="1" t="str">
        <f t="shared" ref="P2:P33" si="3">C2&amp;F2&amp;G2</f>
        <v>GladstoneMakeCL</v>
      </c>
      <c r="Q2" s="1"/>
    </row>
    <row r="3" spans="1:19" x14ac:dyDescent="0.25">
      <c r="A3" cm="1">
        <f t="array" ref="A3">IF(ISNA(_xlfn.XLOOKUP(P3,$P$2:P2,$A$2:A2)),IF(COUNTIFS($P$2:P3,P3)=1,IF(COUNTIFS($C$2:C2,C3)=0,1,_xlfn.MAXIFS($A$2:A2,$C$2:C2,C3)+1),A2),_xlfn.XLOOKUP(P3,$P$2:P2,$A$2:A2))</f>
        <v>2</v>
      </c>
      <c r="B3" t="s">
        <v>19</v>
      </c>
      <c r="C3" t="s">
        <v>20</v>
      </c>
      <c r="D3" t="s">
        <v>26</v>
      </c>
      <c r="E3" t="s">
        <v>24</v>
      </c>
      <c r="F3" t="s">
        <v>25</v>
      </c>
      <c r="G3" t="s">
        <v>24</v>
      </c>
      <c r="H3" t="s">
        <v>28</v>
      </c>
      <c r="I3" t="s">
        <v>20</v>
      </c>
      <c r="J3" t="s">
        <v>29</v>
      </c>
      <c r="K3">
        <v>2</v>
      </c>
      <c r="L3" s="1" t="s">
        <v>27</v>
      </c>
      <c r="M3" s="1" t="str">
        <f t="shared" si="0"/>
        <v>GladstoneStoreCL_STORECL</v>
      </c>
      <c r="N3" s="1" t="str">
        <f t="shared" si="1"/>
        <v>GladstoneMoveSHIPCL</v>
      </c>
      <c r="O3" s="1">
        <f t="shared" si="2"/>
        <v>1</v>
      </c>
      <c r="P3" s="1" t="str">
        <f t="shared" si="3"/>
        <v>GladstoneStoreCL</v>
      </c>
      <c r="Q3" s="1"/>
      <c r="S3" s="4" t="s">
        <v>86</v>
      </c>
    </row>
    <row r="4" spans="1:19" x14ac:dyDescent="0.25">
      <c r="A4" cm="1">
        <f t="array" ref="A4">IF(ISNA(_xlfn.XLOOKUP(P4,$P$2:P3,$A$2:A3)),IF(COUNTIFS($P$2:P4,P4)=1,IF(COUNTIFS($C$2:C3,C4)=0,1,_xlfn.MAXIFS($A$2:A3,$C$2:C3,C4)+1),A3),_xlfn.XLOOKUP(P4,$P$2:P3,$A$2:A3))</f>
        <v>3</v>
      </c>
      <c r="B4" t="s">
        <v>19</v>
      </c>
      <c r="C4" t="s">
        <v>20</v>
      </c>
      <c r="D4" t="s">
        <v>29</v>
      </c>
      <c r="E4" t="s">
        <v>24</v>
      </c>
      <c r="F4" t="s">
        <v>28</v>
      </c>
      <c r="G4" t="s">
        <v>24</v>
      </c>
      <c r="H4" t="s">
        <v>25</v>
      </c>
      <c r="I4" t="s">
        <v>30</v>
      </c>
      <c r="J4" t="s">
        <v>26</v>
      </c>
      <c r="K4">
        <v>3</v>
      </c>
      <c r="L4" t="s">
        <v>27</v>
      </c>
      <c r="M4" t="str">
        <f t="shared" si="0"/>
        <v>GladstoneMoveSHIPCL</v>
      </c>
      <c r="N4" t="str">
        <f t="shared" si="1"/>
        <v>Bulwer IslandStoreCL_STORECL</v>
      </c>
      <c r="O4">
        <f t="shared" si="2"/>
        <v>2</v>
      </c>
      <c r="P4" t="str">
        <f t="shared" si="3"/>
        <v>GladstoneMoveCL</v>
      </c>
    </row>
    <row r="5" spans="1:19" x14ac:dyDescent="0.25">
      <c r="A5" cm="1">
        <f t="array" ref="A5">IF(ISNA(_xlfn.XLOOKUP(P5,$P$2:P4,$A$2:A4)),IF(COUNTIFS($P$2:P5,P5)=1,IF(COUNTIFS($C$2:C4,C5)=0,1,_xlfn.MAXIFS($A$2:A4,$C$2:C4,C5)+1),A4),_xlfn.XLOOKUP(P5,$P$2:P4,$A$2:A4))</f>
        <v>2</v>
      </c>
      <c r="B5" t="s">
        <v>19</v>
      </c>
      <c r="C5" t="s">
        <v>20</v>
      </c>
      <c r="D5" t="s">
        <v>26</v>
      </c>
      <c r="E5" t="s">
        <v>24</v>
      </c>
      <c r="F5" t="s">
        <v>25</v>
      </c>
      <c r="G5" t="s">
        <v>24</v>
      </c>
      <c r="H5" t="s">
        <v>23</v>
      </c>
      <c r="I5" t="s">
        <v>20</v>
      </c>
      <c r="J5" t="s">
        <v>31</v>
      </c>
      <c r="K5">
        <v>2</v>
      </c>
      <c r="L5" t="s">
        <v>27</v>
      </c>
      <c r="M5" t="str">
        <f t="shared" si="0"/>
        <v>GladstoneStoreCL_STORECL</v>
      </c>
      <c r="N5" t="str">
        <f t="shared" si="1"/>
        <v>GladstoneMakeCM1CL</v>
      </c>
      <c r="O5">
        <f t="shared" si="2"/>
        <v>1</v>
      </c>
      <c r="P5" t="str">
        <f t="shared" si="3"/>
        <v>GladstoneStoreCL</v>
      </c>
    </row>
    <row r="6" spans="1:19" x14ac:dyDescent="0.25">
      <c r="A6" cm="1">
        <f t="array" ref="A6">IF(ISNA(_xlfn.XLOOKUP(P6,$P$2:P5,$A$2:A5)),IF(COUNTIFS($P$2:P6,P6)=1,IF(COUNTIFS($C$2:C5,C6)=0,1,_xlfn.MAXIFS($A$2:A5,$C$2:C5,C6)+1),A5),_xlfn.XLOOKUP(P6,$P$2:P5,$A$2:A5))</f>
        <v>2</v>
      </c>
      <c r="B6" t="s">
        <v>19</v>
      </c>
      <c r="C6" t="s">
        <v>20</v>
      </c>
      <c r="D6" t="s">
        <v>26</v>
      </c>
      <c r="E6" t="s">
        <v>24</v>
      </c>
      <c r="F6" t="s">
        <v>25</v>
      </c>
      <c r="G6" t="s">
        <v>24</v>
      </c>
      <c r="H6" t="s">
        <v>23</v>
      </c>
      <c r="I6" t="s">
        <v>20</v>
      </c>
      <c r="J6" t="s">
        <v>32</v>
      </c>
      <c r="K6">
        <v>2</v>
      </c>
      <c r="L6" t="s">
        <v>27</v>
      </c>
      <c r="M6" t="str">
        <f t="shared" si="0"/>
        <v>GladstoneStoreCL_STORECL</v>
      </c>
      <c r="N6" t="str">
        <f t="shared" si="1"/>
        <v>GladstoneMakeCM2CL</v>
      </c>
      <c r="O6">
        <f t="shared" si="2"/>
        <v>1</v>
      </c>
      <c r="P6" t="str">
        <f t="shared" si="3"/>
        <v>GladstoneStoreCL</v>
      </c>
    </row>
    <row r="7" spans="1:19" x14ac:dyDescent="0.25">
      <c r="A7" cm="1">
        <f t="array" ref="A7">IF(ISNA(_xlfn.XLOOKUP(P7,$P$2:P6,$A$2:A6)),IF(COUNTIFS($P$2:P7,P7)=1,IF(COUNTIFS($C$2:C6,C7)=0,1,_xlfn.MAXIFS($A$2:A6,$C$2:C6,C7)+1),A6),_xlfn.XLOOKUP(P7,$P$2:P6,$A$2:A6))</f>
        <v>4</v>
      </c>
      <c r="B7" t="s">
        <v>19</v>
      </c>
      <c r="C7" t="s">
        <v>20</v>
      </c>
      <c r="D7" t="s">
        <v>31</v>
      </c>
      <c r="E7" t="s">
        <v>24</v>
      </c>
      <c r="F7" t="s">
        <v>23</v>
      </c>
      <c r="G7" t="s">
        <v>19</v>
      </c>
      <c r="H7" t="s">
        <v>25</v>
      </c>
      <c r="I7" t="s">
        <v>20</v>
      </c>
      <c r="J7" t="s">
        <v>33</v>
      </c>
      <c r="K7">
        <v>1</v>
      </c>
      <c r="L7" t="s">
        <v>27</v>
      </c>
      <c r="M7" t="str">
        <f t="shared" si="0"/>
        <v>GladstoneMakeCM1CL</v>
      </c>
      <c r="N7" t="str">
        <f t="shared" si="1"/>
        <v>GladstoneStoreGP_STOREGP</v>
      </c>
      <c r="O7">
        <f t="shared" si="2"/>
        <v>3</v>
      </c>
      <c r="P7" t="str">
        <f t="shared" si="3"/>
        <v>GladstoneMakeGP</v>
      </c>
    </row>
    <row r="8" spans="1:19" x14ac:dyDescent="0.25">
      <c r="A8" cm="1">
        <f t="array" ref="A8">IF(ISNA(_xlfn.XLOOKUP(P8,$P$2:P7,$A$2:A7)),IF(COUNTIFS($P$2:P8,P8)=1,IF(COUNTIFS($C$2:C7,C8)=0,1,_xlfn.MAXIFS($A$2:A7,$C$2:C7,C8)+1),A7),_xlfn.XLOOKUP(P8,$P$2:P7,$A$2:A7))</f>
        <v>4</v>
      </c>
      <c r="B8" t="s">
        <v>19</v>
      </c>
      <c r="C8" t="s">
        <v>20</v>
      </c>
      <c r="D8" t="s">
        <v>32</v>
      </c>
      <c r="E8" t="s">
        <v>24</v>
      </c>
      <c r="F8" t="s">
        <v>23</v>
      </c>
      <c r="G8" t="s">
        <v>19</v>
      </c>
      <c r="H8" t="s">
        <v>25</v>
      </c>
      <c r="I8" t="s">
        <v>20</v>
      </c>
      <c r="J8" t="s">
        <v>33</v>
      </c>
      <c r="K8">
        <v>1</v>
      </c>
      <c r="L8" t="s">
        <v>27</v>
      </c>
      <c r="M8" t="str">
        <f t="shared" si="0"/>
        <v>GladstoneMakeCM2CL</v>
      </c>
      <c r="N8" t="str">
        <f t="shared" si="1"/>
        <v>GladstoneStoreGP_STOREGP</v>
      </c>
      <c r="O8">
        <f t="shared" si="2"/>
        <v>3</v>
      </c>
      <c r="P8" t="str">
        <f t="shared" si="3"/>
        <v>GladstoneMakeGP</v>
      </c>
    </row>
    <row r="9" spans="1:19" x14ac:dyDescent="0.25">
      <c r="A9" cm="1">
        <f t="array" ref="A9">IF(ISNA(_xlfn.XLOOKUP(P9,$P$2:P8,$A$2:A8)),IF(COUNTIFS($P$2:P9,P9)=1,IF(COUNTIFS($C$2:C8,C9)=0,1,_xlfn.MAXIFS($A$2:A8,$C$2:C8,C9)+1),A8),_xlfn.XLOOKUP(P9,$P$2:P8,$A$2:A8))</f>
        <v>5</v>
      </c>
      <c r="B9" t="s">
        <v>19</v>
      </c>
      <c r="C9" t="s">
        <v>20</v>
      </c>
      <c r="D9" t="s">
        <v>33</v>
      </c>
      <c r="E9" t="s">
        <v>19</v>
      </c>
      <c r="F9" t="s">
        <v>25</v>
      </c>
      <c r="G9" t="s">
        <v>19</v>
      </c>
      <c r="H9" t="s">
        <v>28</v>
      </c>
      <c r="I9" t="s">
        <v>20</v>
      </c>
      <c r="J9" t="s">
        <v>29</v>
      </c>
      <c r="K9">
        <v>2</v>
      </c>
      <c r="L9" t="s">
        <v>27</v>
      </c>
      <c r="M9" t="str">
        <f t="shared" si="0"/>
        <v>GladstoneStoreGP_STOREGP</v>
      </c>
      <c r="N9" t="str">
        <f t="shared" si="1"/>
        <v>GladstoneMoveSHIPGP</v>
      </c>
      <c r="O9">
        <f t="shared" si="2"/>
        <v>4</v>
      </c>
      <c r="P9" t="str">
        <f t="shared" si="3"/>
        <v>GladstoneStoreGP</v>
      </c>
    </row>
    <row r="10" spans="1:19" x14ac:dyDescent="0.25">
      <c r="A10" cm="1">
        <f t="array" ref="A10">IF(ISNA(_xlfn.XLOOKUP(P10,$P$2:P9,$A$2:A9)),IF(COUNTIFS($P$2:P10,P10)=1,IF(COUNTIFS($C$2:C9,C10)=0,1,_xlfn.MAXIFS($A$2:A9,$C$2:C9,C10)+1),A9),_xlfn.XLOOKUP(P10,$P$2:P9,$A$2:A9))</f>
        <v>5</v>
      </c>
      <c r="B10" t="s">
        <v>19</v>
      </c>
      <c r="C10" t="s">
        <v>20</v>
      </c>
      <c r="D10" t="s">
        <v>33</v>
      </c>
      <c r="E10" t="s">
        <v>19</v>
      </c>
      <c r="F10" t="s">
        <v>25</v>
      </c>
      <c r="G10" t="s">
        <v>19</v>
      </c>
      <c r="H10" t="s">
        <v>28</v>
      </c>
      <c r="I10" t="s">
        <v>20</v>
      </c>
      <c r="J10" t="s">
        <v>34</v>
      </c>
      <c r="K10">
        <v>2</v>
      </c>
      <c r="L10" t="s">
        <v>27</v>
      </c>
      <c r="M10" t="str">
        <f t="shared" si="0"/>
        <v>GladstoneStoreGP_STOREGP</v>
      </c>
      <c r="N10" t="str">
        <f t="shared" si="1"/>
        <v>GladstoneMoveTRAINGP</v>
      </c>
      <c r="O10">
        <f t="shared" si="2"/>
        <v>1</v>
      </c>
      <c r="P10" t="str">
        <f t="shared" si="3"/>
        <v>GladstoneStoreGP</v>
      </c>
    </row>
    <row r="11" spans="1:19" x14ac:dyDescent="0.25">
      <c r="A11" cm="1">
        <f t="array" ref="A11">IF(ISNA(_xlfn.XLOOKUP(P11,$P$2:P10,$A$2:A10)),IF(COUNTIFS($P$2:P11,P11)=1,IF(COUNTIFS($C$2:C10,C11)=0,1,_xlfn.MAXIFS($A$2:A10,$C$2:C10,C11)+1),A10),_xlfn.XLOOKUP(P11,$P$2:P10,$A$2:A10))</f>
        <v>5</v>
      </c>
      <c r="B11" t="s">
        <v>19</v>
      </c>
      <c r="C11" t="s">
        <v>20</v>
      </c>
      <c r="D11" t="s">
        <v>33</v>
      </c>
      <c r="E11" t="s">
        <v>19</v>
      </c>
      <c r="F11" t="s">
        <v>25</v>
      </c>
      <c r="G11" t="s">
        <v>19</v>
      </c>
      <c r="H11" t="s">
        <v>35</v>
      </c>
      <c r="I11" t="s">
        <v>20</v>
      </c>
      <c r="J11" t="s">
        <v>36</v>
      </c>
      <c r="K11">
        <v>2</v>
      </c>
      <c r="L11" t="s">
        <v>27</v>
      </c>
      <c r="M11" t="str">
        <f t="shared" si="0"/>
        <v>GladstoneStoreGP_STOREGP</v>
      </c>
      <c r="N11" t="str">
        <f t="shared" si="1"/>
        <v>GladstoneDeliverTRUCKGP</v>
      </c>
      <c r="O11">
        <f t="shared" si="2"/>
        <v>1</v>
      </c>
      <c r="P11" t="str">
        <f t="shared" si="3"/>
        <v>GladstoneStoreGP</v>
      </c>
    </row>
    <row r="12" spans="1:19" x14ac:dyDescent="0.25">
      <c r="A12" cm="1">
        <f t="array" ref="A12">IF(ISNA(_xlfn.XLOOKUP(P12,$P$2:P11,$A$2:A11)),IF(COUNTIFS($P$2:P12,P12)=1,IF(COUNTIFS($C$2:C11,C12)=0,1,_xlfn.MAXIFS($A$2:A11,$C$2:C11,C12)+1),A11),_xlfn.XLOOKUP(P12,$P$2:P11,$A$2:A11))</f>
        <v>6</v>
      </c>
      <c r="B12" t="s">
        <v>19</v>
      </c>
      <c r="C12" t="s">
        <v>20</v>
      </c>
      <c r="D12" t="s">
        <v>29</v>
      </c>
      <c r="E12" t="s">
        <v>19</v>
      </c>
      <c r="F12" t="s">
        <v>28</v>
      </c>
      <c r="G12" t="s">
        <v>19</v>
      </c>
      <c r="H12" t="s">
        <v>25</v>
      </c>
      <c r="I12" t="s">
        <v>37</v>
      </c>
      <c r="J12" t="s">
        <v>33</v>
      </c>
      <c r="K12">
        <v>3</v>
      </c>
      <c r="L12" t="s">
        <v>27</v>
      </c>
      <c r="M12" t="str">
        <f t="shared" si="0"/>
        <v>GladstoneMoveSHIPGP</v>
      </c>
      <c r="N12" t="str">
        <f t="shared" si="1"/>
        <v>TownsvilleStoreGP_STOREGP</v>
      </c>
      <c r="O12">
        <f t="shared" si="2"/>
        <v>1</v>
      </c>
      <c r="P12" t="str">
        <f t="shared" si="3"/>
        <v>GladstoneMoveGP</v>
      </c>
    </row>
    <row r="13" spans="1:19" x14ac:dyDescent="0.25">
      <c r="A13" cm="1">
        <f t="array" ref="A13">IF(ISNA(_xlfn.XLOOKUP(P13,$P$2:P12,$A$2:A12)),IF(COUNTIFS($P$2:P13,P13)=1,IF(COUNTIFS($C$2:C12,C13)=0,1,_xlfn.MAXIFS($A$2:A12,$C$2:C12,C13)+1),A12),_xlfn.XLOOKUP(P13,$P$2:P12,$A$2:A12))</f>
        <v>6</v>
      </c>
      <c r="B13" t="s">
        <v>19</v>
      </c>
      <c r="C13" t="s">
        <v>20</v>
      </c>
      <c r="D13" t="s">
        <v>29</v>
      </c>
      <c r="E13" t="s">
        <v>19</v>
      </c>
      <c r="F13" t="s">
        <v>28</v>
      </c>
      <c r="G13" t="s">
        <v>19</v>
      </c>
      <c r="H13" t="s">
        <v>25</v>
      </c>
      <c r="I13" t="s">
        <v>38</v>
      </c>
      <c r="J13" t="s">
        <v>33</v>
      </c>
      <c r="K13">
        <v>3</v>
      </c>
      <c r="L13" t="s">
        <v>27</v>
      </c>
      <c r="M13" t="str">
        <f t="shared" si="0"/>
        <v>GladstoneMoveSHIPGP</v>
      </c>
      <c r="N13" t="str">
        <f t="shared" si="1"/>
        <v>Port KemblaStoreGP_STOREGP</v>
      </c>
      <c r="O13">
        <f t="shared" si="2"/>
        <v>2</v>
      </c>
      <c r="P13" t="str">
        <f t="shared" si="3"/>
        <v>GladstoneMoveGP</v>
      </c>
    </row>
    <row r="14" spans="1:19" x14ac:dyDescent="0.25">
      <c r="A14" cm="1">
        <f t="array" ref="A14">IF(ISNA(_xlfn.XLOOKUP(P14,$P$2:P13,$A$2:A13)),IF(COUNTIFS($P$2:P14,P14)=1,IF(COUNTIFS($C$2:C13,C14)=0,1,_xlfn.MAXIFS($A$2:A13,$C$2:C13,C14)+1),A13),_xlfn.XLOOKUP(P14,$P$2:P13,$A$2:A13))</f>
        <v>6</v>
      </c>
      <c r="B14" t="s">
        <v>19</v>
      </c>
      <c r="C14" t="s">
        <v>20</v>
      </c>
      <c r="D14" t="s">
        <v>29</v>
      </c>
      <c r="E14" t="s">
        <v>19</v>
      </c>
      <c r="F14" t="s">
        <v>28</v>
      </c>
      <c r="G14" t="s">
        <v>19</v>
      </c>
      <c r="H14" t="s">
        <v>25</v>
      </c>
      <c r="I14" t="s">
        <v>39</v>
      </c>
      <c r="J14" t="s">
        <v>33</v>
      </c>
      <c r="K14">
        <v>3</v>
      </c>
      <c r="L14" t="s">
        <v>27</v>
      </c>
      <c r="M14" t="str">
        <f t="shared" si="0"/>
        <v>GladstoneMoveSHIPGP</v>
      </c>
      <c r="N14" t="str">
        <f t="shared" si="1"/>
        <v>NewcastleStoreGP_STOREGP</v>
      </c>
      <c r="O14">
        <f t="shared" si="2"/>
        <v>1</v>
      </c>
      <c r="P14" t="str">
        <f t="shared" si="3"/>
        <v>GladstoneMoveGP</v>
      </c>
    </row>
    <row r="15" spans="1:19" x14ac:dyDescent="0.25">
      <c r="A15" cm="1">
        <f t="array" ref="A15">IF(ISNA(_xlfn.XLOOKUP(P15,$P$2:P14,$A$2:A14)),IF(COUNTIFS($P$2:P15,P15)=1,IF(COUNTIFS($C$2:C14,C15)=0,1,_xlfn.MAXIFS($A$2:A14,$C$2:C14,C15)+1),A14),_xlfn.XLOOKUP(P15,$P$2:P14,$A$2:A14))</f>
        <v>6</v>
      </c>
      <c r="B15" t="s">
        <v>19</v>
      </c>
      <c r="C15" t="s">
        <v>20</v>
      </c>
      <c r="D15" t="s">
        <v>29</v>
      </c>
      <c r="E15" t="s">
        <v>19</v>
      </c>
      <c r="F15" t="s">
        <v>28</v>
      </c>
      <c r="G15" t="s">
        <v>19</v>
      </c>
      <c r="H15" t="s">
        <v>25</v>
      </c>
      <c r="I15" t="s">
        <v>30</v>
      </c>
      <c r="J15" t="s">
        <v>33</v>
      </c>
      <c r="K15">
        <v>3</v>
      </c>
      <c r="L15" t="s">
        <v>27</v>
      </c>
      <c r="M15" t="str">
        <f t="shared" si="0"/>
        <v>GladstoneMoveSHIPGP</v>
      </c>
      <c r="N15" t="str">
        <f t="shared" si="1"/>
        <v>Bulwer IslandStoreGP_STOREGP</v>
      </c>
      <c r="O15">
        <f t="shared" si="2"/>
        <v>1</v>
      </c>
      <c r="P15" t="str">
        <f t="shared" si="3"/>
        <v>GladstoneMoveGP</v>
      </c>
    </row>
    <row r="16" spans="1:19" x14ac:dyDescent="0.25">
      <c r="A16" cm="1">
        <f t="array" ref="A16">IF(ISNA(_xlfn.XLOOKUP(P16,$P$2:P15,$A$2:A15)),IF(COUNTIFS($P$2:P16,P16)=1,IF(COUNTIFS($C$2:C15,C16)=0,1,_xlfn.MAXIFS($A$2:A15,$C$2:C15,C16)+1),A15),_xlfn.XLOOKUP(P16,$P$2:P15,$A$2:A15))</f>
        <v>6</v>
      </c>
      <c r="B16" t="s">
        <v>19</v>
      </c>
      <c r="C16" t="s">
        <v>20</v>
      </c>
      <c r="D16" t="s">
        <v>34</v>
      </c>
      <c r="E16" t="s">
        <v>19</v>
      </c>
      <c r="F16" t="s">
        <v>28</v>
      </c>
      <c r="G16" t="s">
        <v>19</v>
      </c>
      <c r="H16" t="s">
        <v>25</v>
      </c>
      <c r="I16" t="s">
        <v>40</v>
      </c>
      <c r="J16" t="s">
        <v>33</v>
      </c>
      <c r="K16">
        <v>3</v>
      </c>
      <c r="L16" t="s">
        <v>27</v>
      </c>
      <c r="M16" t="str">
        <f t="shared" si="0"/>
        <v>GladstoneMoveTRAINGP</v>
      </c>
      <c r="N16" t="str">
        <f t="shared" si="1"/>
        <v>MackayStoreGP_STOREGP</v>
      </c>
      <c r="O16">
        <f t="shared" si="2"/>
        <v>1</v>
      </c>
      <c r="P16" t="str">
        <f t="shared" si="3"/>
        <v>GladstoneMoveGP</v>
      </c>
    </row>
    <row r="17" spans="1:16" x14ac:dyDescent="0.25">
      <c r="A17" s="1">
        <v>6</v>
      </c>
      <c r="B17" t="s">
        <v>19</v>
      </c>
      <c r="C17" t="s">
        <v>20</v>
      </c>
      <c r="D17" t="s">
        <v>36</v>
      </c>
      <c r="E17" t="s">
        <v>19</v>
      </c>
      <c r="F17" t="s">
        <v>35</v>
      </c>
      <c r="G17" t="s">
        <v>19</v>
      </c>
      <c r="K17">
        <v>4</v>
      </c>
      <c r="L17" t="s">
        <v>27</v>
      </c>
      <c r="M17" t="str">
        <f t="shared" si="0"/>
        <v>GladstoneDeliverTRUCKGP</v>
      </c>
      <c r="N17" t="str">
        <f t="shared" si="1"/>
        <v>GP</v>
      </c>
      <c r="O17">
        <f t="shared" si="2"/>
        <v>0</v>
      </c>
      <c r="P17" t="str">
        <f t="shared" si="3"/>
        <v>GladstoneDeliverGP</v>
      </c>
    </row>
    <row r="18" spans="1:16" x14ac:dyDescent="0.25">
      <c r="A18" cm="1">
        <f t="array" ref="A18">IF(ISNA(_xlfn.XLOOKUP(P18,$P$2:P17,$A$2:A17)),IF(COUNTIFS($P$2:P18,P18)=1,IF(COUNTIFS($C$2:C17,C18)=0,1,_xlfn.MAXIFS($A$2:A17,$C$2:C17,C18)+1),A17),_xlfn.XLOOKUP(P18,$P$2:P17,$A$2:A17))</f>
        <v>1</v>
      </c>
      <c r="B18" t="s">
        <v>19</v>
      </c>
      <c r="C18" t="s">
        <v>41</v>
      </c>
      <c r="D18" t="s">
        <v>42</v>
      </c>
      <c r="E18" t="s">
        <v>22</v>
      </c>
      <c r="F18" t="s">
        <v>23</v>
      </c>
      <c r="G18" t="s">
        <v>24</v>
      </c>
      <c r="H18" t="s">
        <v>25</v>
      </c>
      <c r="I18" t="s">
        <v>41</v>
      </c>
      <c r="J18" t="s">
        <v>26</v>
      </c>
      <c r="K18">
        <v>1</v>
      </c>
      <c r="L18" t="s">
        <v>27</v>
      </c>
      <c r="M18" t="str">
        <f t="shared" si="0"/>
        <v>RailtonMakeR1None</v>
      </c>
      <c r="N18" t="str">
        <f t="shared" si="1"/>
        <v>RailtonStoreCL_STORECL</v>
      </c>
      <c r="O18">
        <f t="shared" si="2"/>
        <v>2</v>
      </c>
      <c r="P18" t="str">
        <f t="shared" si="3"/>
        <v>RailtonMakeCL</v>
      </c>
    </row>
    <row r="19" spans="1:16" x14ac:dyDescent="0.25">
      <c r="A19" cm="1">
        <f t="array" ref="A19">IF(ISNA(_xlfn.XLOOKUP(P19,$P$2:P18,$A$2:A18)),IF(COUNTIFS($P$2:P19,P19)=1,IF(COUNTIFS($C$2:C18,C19)=0,1,_xlfn.MAXIFS($A$2:A18,$C$2:C18,C19)+1),A18),_xlfn.XLOOKUP(P19,$P$2:P18,$A$2:A18))</f>
        <v>2</v>
      </c>
      <c r="B19" t="s">
        <v>19</v>
      </c>
      <c r="C19" t="s">
        <v>41</v>
      </c>
      <c r="D19" t="s">
        <v>26</v>
      </c>
      <c r="E19" t="s">
        <v>24</v>
      </c>
      <c r="F19" t="s">
        <v>25</v>
      </c>
      <c r="G19" t="s">
        <v>24</v>
      </c>
      <c r="H19" t="s">
        <v>23</v>
      </c>
      <c r="I19" t="s">
        <v>41</v>
      </c>
      <c r="J19" t="s">
        <v>43</v>
      </c>
      <c r="K19">
        <v>2</v>
      </c>
      <c r="L19" t="s">
        <v>27</v>
      </c>
      <c r="M19" t="str">
        <f t="shared" si="0"/>
        <v>RailtonStoreCL_STORECL</v>
      </c>
      <c r="N19" t="str">
        <f t="shared" si="1"/>
        <v>RailtonMakeCM4CL</v>
      </c>
      <c r="O19">
        <f t="shared" si="2"/>
        <v>2</v>
      </c>
      <c r="P19" t="str">
        <f t="shared" si="3"/>
        <v>RailtonStoreCL</v>
      </c>
    </row>
    <row r="20" spans="1:16" x14ac:dyDescent="0.25">
      <c r="A20" cm="1">
        <f t="array" ref="A20">IF(ISNA(_xlfn.XLOOKUP(P20,$P$2:P19,$A$2:A19)),IF(COUNTIFS($P$2:P20,P20)=1,IF(COUNTIFS($C$2:C19,C20)=0,1,_xlfn.MAXIFS($A$2:A19,$C$2:C19,C20)+1),A19),_xlfn.XLOOKUP(P20,$P$2:P19,$A$2:A19))</f>
        <v>2</v>
      </c>
      <c r="B20" t="s">
        <v>19</v>
      </c>
      <c r="C20" t="s">
        <v>41</v>
      </c>
      <c r="D20" t="s">
        <v>26</v>
      </c>
      <c r="E20" t="s">
        <v>24</v>
      </c>
      <c r="F20" t="s">
        <v>25</v>
      </c>
      <c r="G20" t="s">
        <v>24</v>
      </c>
      <c r="H20" t="s">
        <v>23</v>
      </c>
      <c r="I20" t="s">
        <v>41</v>
      </c>
      <c r="J20" t="s">
        <v>44</v>
      </c>
      <c r="K20">
        <v>2</v>
      </c>
      <c r="L20" t="s">
        <v>27</v>
      </c>
      <c r="M20" t="str">
        <f t="shared" si="0"/>
        <v>RailtonStoreCL_STORECL</v>
      </c>
      <c r="N20" t="str">
        <f t="shared" si="1"/>
        <v>RailtonMakeCM5CL</v>
      </c>
      <c r="O20">
        <f t="shared" si="2"/>
        <v>2</v>
      </c>
      <c r="P20" t="str">
        <f t="shared" si="3"/>
        <v>RailtonStoreCL</v>
      </c>
    </row>
    <row r="21" spans="1:16" x14ac:dyDescent="0.25">
      <c r="A21" cm="1">
        <f t="array" ref="A21">IF(ISNA(_xlfn.XLOOKUP(P21,$P$2:P20,$A$2:A20)),IF(COUNTIFS($P$2:P21,P21)=1,IF(COUNTIFS($C$2:C20,C21)=0,1,_xlfn.MAXIFS($A$2:A20,$C$2:C20,C21)+1),A20),_xlfn.XLOOKUP(P21,$P$2:P20,$A$2:A20))</f>
        <v>3</v>
      </c>
      <c r="B21" t="s">
        <v>19</v>
      </c>
      <c r="C21" t="s">
        <v>41</v>
      </c>
      <c r="D21" t="s">
        <v>43</v>
      </c>
      <c r="E21" t="s">
        <v>24</v>
      </c>
      <c r="F21" t="s">
        <v>23</v>
      </c>
      <c r="G21" t="s">
        <v>19</v>
      </c>
      <c r="H21" t="s">
        <v>25</v>
      </c>
      <c r="I21" t="s">
        <v>41</v>
      </c>
      <c r="J21" t="s">
        <v>87</v>
      </c>
      <c r="K21">
        <v>1</v>
      </c>
      <c r="L21" t="s">
        <v>27</v>
      </c>
      <c r="M21" t="str">
        <f t="shared" si="0"/>
        <v>RailtonMakeCM4CL</v>
      </c>
      <c r="N21" t="str">
        <f t="shared" si="1"/>
        <v>RailtonStoreGP_STORE_STGP</v>
      </c>
      <c r="O21">
        <f t="shared" si="2"/>
        <v>1</v>
      </c>
      <c r="P21" t="str">
        <f t="shared" si="3"/>
        <v>RailtonMakeGP</v>
      </c>
    </row>
    <row r="22" spans="1:16" x14ac:dyDescent="0.25">
      <c r="A22" cm="1">
        <f t="array" ref="A22">IF(ISNA(_xlfn.XLOOKUP(P22,$P$2:P21,$A$2:A21)),IF(COUNTIFS($P$2:P22,P22)=1,IF(COUNTIFS($C$2:C21,C22)=0,1,_xlfn.MAXIFS($A$2:A21,$C$2:C21,C22)+1),A21),_xlfn.XLOOKUP(P22,$P$2:P21,$A$2:A21))</f>
        <v>3</v>
      </c>
      <c r="B22" t="s">
        <v>19</v>
      </c>
      <c r="C22" t="s">
        <v>41</v>
      </c>
      <c r="D22" t="s">
        <v>44</v>
      </c>
      <c r="E22" t="s">
        <v>24</v>
      </c>
      <c r="F22" t="s">
        <v>23</v>
      </c>
      <c r="G22" t="s">
        <v>19</v>
      </c>
      <c r="H22" t="s">
        <v>25</v>
      </c>
      <c r="I22" t="s">
        <v>41</v>
      </c>
      <c r="J22" t="s">
        <v>87</v>
      </c>
      <c r="K22">
        <v>1</v>
      </c>
      <c r="L22" t="s">
        <v>27</v>
      </c>
      <c r="M22" t="str">
        <f t="shared" si="0"/>
        <v>RailtonMakeCM5CL</v>
      </c>
      <c r="N22" t="str">
        <f t="shared" si="1"/>
        <v>RailtonStoreGP_STORE_STGP</v>
      </c>
      <c r="O22">
        <f t="shared" si="2"/>
        <v>1</v>
      </c>
      <c r="P22" t="str">
        <f t="shared" si="3"/>
        <v>RailtonMakeGP</v>
      </c>
    </row>
    <row r="23" spans="1:16" x14ac:dyDescent="0.25">
      <c r="A23" cm="1">
        <f t="array" ref="A23">IF(ISNA(_xlfn.XLOOKUP(P23,$P$2:P22,$A$2:A22)),IF(COUNTIFS($P$2:P23,P23)=1,IF(COUNTIFS($C$2:C22,C23)=0,1,_xlfn.MAXIFS($A$2:A22,$C$2:C22,C23)+1),A22),_xlfn.XLOOKUP(P23,$P$2:P22,$A$2:A22))</f>
        <v>3</v>
      </c>
      <c r="B23" t="s">
        <v>19</v>
      </c>
      <c r="C23" t="s">
        <v>41</v>
      </c>
      <c r="D23" t="s">
        <v>43</v>
      </c>
      <c r="E23" t="s">
        <v>24</v>
      </c>
      <c r="F23" t="s">
        <v>23</v>
      </c>
      <c r="G23" t="s">
        <v>19</v>
      </c>
      <c r="H23" t="s">
        <v>25</v>
      </c>
      <c r="I23" t="s">
        <v>41</v>
      </c>
      <c r="J23" t="s">
        <v>88</v>
      </c>
      <c r="K23">
        <v>1</v>
      </c>
      <c r="L23" t="s">
        <v>27</v>
      </c>
      <c r="M23" t="str">
        <f t="shared" si="0"/>
        <v>RailtonMakeCM4CL</v>
      </c>
      <c r="N23" t="str">
        <f t="shared" si="1"/>
        <v>RailtonStoreGP_STORE_QGP</v>
      </c>
      <c r="O23">
        <f t="shared" si="2"/>
        <v>1</v>
      </c>
      <c r="P23" t="str">
        <f t="shared" si="3"/>
        <v>RailtonMakeGP</v>
      </c>
    </row>
    <row r="24" spans="1:16" x14ac:dyDescent="0.25">
      <c r="A24" cm="1">
        <f t="array" ref="A24">IF(ISNA(_xlfn.XLOOKUP(P24,$P$2:P23,$A$2:A23)),IF(COUNTIFS($P$2:P24,P24)=1,IF(COUNTIFS($C$2:C23,C24)=0,1,_xlfn.MAXIFS($A$2:A23,$C$2:C23,C24)+1),A23),_xlfn.XLOOKUP(P24,$P$2:P23,$A$2:A23))</f>
        <v>3</v>
      </c>
      <c r="B24" t="s">
        <v>19</v>
      </c>
      <c r="C24" t="s">
        <v>41</v>
      </c>
      <c r="D24" t="s">
        <v>44</v>
      </c>
      <c r="E24" t="s">
        <v>24</v>
      </c>
      <c r="F24" t="s">
        <v>23</v>
      </c>
      <c r="G24" t="s">
        <v>19</v>
      </c>
      <c r="H24" t="s">
        <v>25</v>
      </c>
      <c r="I24" t="s">
        <v>41</v>
      </c>
      <c r="J24" t="s">
        <v>88</v>
      </c>
      <c r="K24">
        <v>1</v>
      </c>
      <c r="L24" t="s">
        <v>27</v>
      </c>
      <c r="M24" t="str">
        <f t="shared" si="0"/>
        <v>RailtonMakeCM5CL</v>
      </c>
      <c r="N24" t="str">
        <f t="shared" si="1"/>
        <v>RailtonStoreGP_STORE_QGP</v>
      </c>
      <c r="O24">
        <f t="shared" si="2"/>
        <v>1</v>
      </c>
      <c r="P24" t="str">
        <f t="shared" si="3"/>
        <v>RailtonMakeGP</v>
      </c>
    </row>
    <row r="25" spans="1:16" x14ac:dyDescent="0.25">
      <c r="A25" cm="1">
        <f t="array" ref="A25">IF(ISNA(_xlfn.XLOOKUP(P25,$P$2:P24,$A$2:A24)),IF(COUNTIFS($P$2:P25,P25)=1,IF(COUNTIFS($C$2:C24,C25)=0,1,_xlfn.MAXIFS($A$2:A24,$C$2:C24,C25)+1),A24),_xlfn.XLOOKUP(P25,$P$2:P24,$A$2:A24))</f>
        <v>4</v>
      </c>
      <c r="B25" t="s">
        <v>19</v>
      </c>
      <c r="C25" t="s">
        <v>41</v>
      </c>
      <c r="D25" t="s">
        <v>88</v>
      </c>
      <c r="E25" t="s">
        <v>19</v>
      </c>
      <c r="F25" t="s">
        <v>25</v>
      </c>
      <c r="G25" t="s">
        <v>19</v>
      </c>
      <c r="H25" t="s">
        <v>35</v>
      </c>
      <c r="I25" t="s">
        <v>41</v>
      </c>
      <c r="J25" t="s">
        <v>36</v>
      </c>
      <c r="K25">
        <v>2</v>
      </c>
      <c r="L25" t="s">
        <v>27</v>
      </c>
      <c r="M25" t="str">
        <f t="shared" si="0"/>
        <v>RailtonStoreGP_STORE_QGP</v>
      </c>
      <c r="N25" t="str">
        <f t="shared" si="1"/>
        <v>RailtonDeliverTRUCKGP</v>
      </c>
      <c r="O25">
        <f t="shared" si="2"/>
        <v>1</v>
      </c>
      <c r="P25" t="str">
        <f t="shared" si="3"/>
        <v>RailtonStoreGP</v>
      </c>
    </row>
    <row r="26" spans="1:16" x14ac:dyDescent="0.25">
      <c r="A26" cm="1">
        <f t="array" ref="A26">IF(ISNA(_xlfn.XLOOKUP(P26,$P$2:P25,$A$2:A25)),IF(COUNTIFS($P$2:P26,P26)=1,IF(COUNTIFS($C$2:C25,C26)=0,1,_xlfn.MAXIFS($A$2:A25,$C$2:C25,C26)+1),A25),_xlfn.XLOOKUP(P26,$P$2:P25,$A$2:A25))</f>
        <v>4</v>
      </c>
      <c r="B26" t="s">
        <v>19</v>
      </c>
      <c r="C26" t="s">
        <v>41</v>
      </c>
      <c r="D26" t="s">
        <v>87</v>
      </c>
      <c r="E26" t="s">
        <v>19</v>
      </c>
      <c r="F26" t="s">
        <v>25</v>
      </c>
      <c r="G26" t="s">
        <v>19</v>
      </c>
      <c r="H26" t="s">
        <v>28</v>
      </c>
      <c r="I26" t="s">
        <v>41</v>
      </c>
      <c r="J26" t="s">
        <v>34</v>
      </c>
      <c r="K26">
        <v>2</v>
      </c>
      <c r="L26" t="s">
        <v>27</v>
      </c>
      <c r="M26" t="str">
        <f t="shared" si="0"/>
        <v>RailtonStoreGP_STORE_STGP</v>
      </c>
      <c r="N26" t="str">
        <f t="shared" si="1"/>
        <v>RailtonMoveTRAINGP</v>
      </c>
      <c r="O26">
        <f t="shared" si="2"/>
        <v>1</v>
      </c>
      <c r="P26" t="str">
        <f t="shared" si="3"/>
        <v>RailtonStoreGP</v>
      </c>
    </row>
    <row r="27" spans="1:16" x14ac:dyDescent="0.25">
      <c r="A27" cm="1">
        <f t="array" ref="A27">IF(ISNA(_xlfn.XLOOKUP(P27,$P$2:P26,$A$2:A26)),IF(COUNTIFS($P$2:P27,P27)=1,IF(COUNTIFS($C$2:C26,C27)=0,1,_xlfn.MAXIFS($A$2:A26,$C$2:C26,C27)+1),A26),_xlfn.XLOOKUP(P27,$P$2:P26,$A$2:A26))</f>
        <v>5</v>
      </c>
      <c r="B27" t="s">
        <v>19</v>
      </c>
      <c r="C27" t="s">
        <v>41</v>
      </c>
      <c r="D27" t="s">
        <v>34</v>
      </c>
      <c r="E27" t="s">
        <v>19</v>
      </c>
      <c r="F27" t="s">
        <v>28</v>
      </c>
      <c r="G27" t="s">
        <v>19</v>
      </c>
      <c r="H27" t="s">
        <v>25</v>
      </c>
      <c r="I27" t="s">
        <v>70</v>
      </c>
      <c r="J27" t="s">
        <v>33</v>
      </c>
      <c r="K27">
        <v>3</v>
      </c>
      <c r="L27" t="s">
        <v>27</v>
      </c>
      <c r="M27" t="str">
        <f t="shared" si="0"/>
        <v>RailtonMoveTRAINGP</v>
      </c>
      <c r="N27" t="str">
        <f t="shared" si="1"/>
        <v>DevonportStoreGP_STOREGP</v>
      </c>
      <c r="O27">
        <f t="shared" si="2"/>
        <v>1</v>
      </c>
      <c r="P27" t="str">
        <f t="shared" si="3"/>
        <v>RailtonMoveGP</v>
      </c>
    </row>
    <row r="28" spans="1:16" x14ac:dyDescent="0.25">
      <c r="A28" s="1">
        <v>5</v>
      </c>
      <c r="B28" t="s">
        <v>19</v>
      </c>
      <c r="C28" t="s">
        <v>41</v>
      </c>
      <c r="D28" t="s">
        <v>36</v>
      </c>
      <c r="E28" t="s">
        <v>19</v>
      </c>
      <c r="F28" t="s">
        <v>35</v>
      </c>
      <c r="G28" t="s">
        <v>19</v>
      </c>
      <c r="K28">
        <v>4</v>
      </c>
      <c r="L28" t="s">
        <v>27</v>
      </c>
      <c r="M28" t="str">
        <f t="shared" si="0"/>
        <v>RailtonDeliverTRUCKGP</v>
      </c>
      <c r="N28" t="str">
        <f t="shared" si="1"/>
        <v>GP</v>
      </c>
      <c r="O28">
        <f t="shared" si="2"/>
        <v>0</v>
      </c>
      <c r="P28" t="str">
        <f t="shared" si="3"/>
        <v>RailtonDeliverGP</v>
      </c>
    </row>
    <row r="29" spans="1:16" x14ac:dyDescent="0.25">
      <c r="A29" cm="1">
        <f t="array" ref="A29">IF(ISNA(_xlfn.XLOOKUP(P29,$P$2:P28,$A$2:A28)),IF(COUNTIFS($P$2:P29,P29)=1,IF(COUNTIFS($C$2:C28,C29)=0,1,_xlfn.MAXIFS($A$2:A28,$C$2:C28,C29)+1),A28),_xlfn.XLOOKUP(P29,$P$2:P28,$A$2:A28))</f>
        <v>1</v>
      </c>
      <c r="B29" t="s">
        <v>19</v>
      </c>
      <c r="C29" t="s">
        <v>70</v>
      </c>
      <c r="D29" t="s">
        <v>33</v>
      </c>
      <c r="E29" t="s">
        <v>19</v>
      </c>
      <c r="F29" t="s">
        <v>25</v>
      </c>
      <c r="G29" t="s">
        <v>19</v>
      </c>
      <c r="H29" t="s">
        <v>28</v>
      </c>
      <c r="I29" t="s">
        <v>70</v>
      </c>
      <c r="J29" t="s">
        <v>29</v>
      </c>
      <c r="K29">
        <v>2</v>
      </c>
      <c r="L29" t="s">
        <v>27</v>
      </c>
      <c r="M29" t="str">
        <f t="shared" si="0"/>
        <v>DevonportStoreGP_STOREGP</v>
      </c>
      <c r="N29" t="str">
        <f t="shared" si="1"/>
        <v>DevonportMoveSHIPGP</v>
      </c>
      <c r="O29">
        <f t="shared" si="2"/>
        <v>3</v>
      </c>
      <c r="P29" t="str">
        <f t="shared" si="3"/>
        <v>DevonportStoreGP</v>
      </c>
    </row>
    <row r="30" spans="1:16" x14ac:dyDescent="0.25">
      <c r="A30" cm="1">
        <f t="array" ref="A30">IF(ISNA(_xlfn.XLOOKUP(P30,$P$2:P29,$A$2:A29)),IF(COUNTIFS($P$2:P30,P30)=1,IF(COUNTIFS($C$2:C29,C30)=0,1,_xlfn.MAXIFS($A$2:A29,$C$2:C29,C30)+1),A29),_xlfn.XLOOKUP(P30,$P$2:P29,$A$2:A29))</f>
        <v>2</v>
      </c>
      <c r="B30" t="s">
        <v>19</v>
      </c>
      <c r="C30" t="s">
        <v>70</v>
      </c>
      <c r="D30" t="s">
        <v>29</v>
      </c>
      <c r="E30" t="s">
        <v>19</v>
      </c>
      <c r="F30" t="s">
        <v>28</v>
      </c>
      <c r="G30" t="s">
        <v>19</v>
      </c>
      <c r="H30" t="s">
        <v>25</v>
      </c>
      <c r="I30" t="s">
        <v>45</v>
      </c>
      <c r="J30" t="s">
        <v>33</v>
      </c>
      <c r="K30">
        <v>3</v>
      </c>
      <c r="L30" t="s">
        <v>27</v>
      </c>
      <c r="M30" t="str">
        <f t="shared" si="0"/>
        <v>DevonportMoveSHIPGP</v>
      </c>
      <c r="N30" t="str">
        <f t="shared" si="1"/>
        <v>MelbourneStoreGP_STOREGP</v>
      </c>
      <c r="O30">
        <f t="shared" si="2"/>
        <v>1</v>
      </c>
      <c r="P30" t="str">
        <f t="shared" si="3"/>
        <v>DevonportMoveGP</v>
      </c>
    </row>
    <row r="31" spans="1:16" x14ac:dyDescent="0.25">
      <c r="A31" cm="1">
        <f t="array" ref="A31">IF(ISNA(_xlfn.XLOOKUP(P31,$P$2:P30,$A$2:A30)),IF(COUNTIFS($P$2:P31,P31)=1,IF(COUNTIFS($C$2:C30,C31)=0,1,_xlfn.MAXIFS($A$2:A30,$C$2:C30,C31)+1),A30),_xlfn.XLOOKUP(P31,$P$2:P30,$A$2:A30))</f>
        <v>2</v>
      </c>
      <c r="B31" t="s">
        <v>19</v>
      </c>
      <c r="C31" t="s">
        <v>70</v>
      </c>
      <c r="D31" t="s">
        <v>29</v>
      </c>
      <c r="E31" t="s">
        <v>19</v>
      </c>
      <c r="F31" t="s">
        <v>28</v>
      </c>
      <c r="G31" t="s">
        <v>19</v>
      </c>
      <c r="H31" t="s">
        <v>25</v>
      </c>
      <c r="I31" t="s">
        <v>147</v>
      </c>
      <c r="J31" t="s">
        <v>33</v>
      </c>
      <c r="K31">
        <v>3</v>
      </c>
      <c r="L31" t="s">
        <v>27</v>
      </c>
      <c r="M31" t="str">
        <f t="shared" si="0"/>
        <v>DevonportMoveSHIPGP</v>
      </c>
      <c r="N31" t="str">
        <f t="shared" si="1"/>
        <v>OsborneStoreGP_STOREGP</v>
      </c>
      <c r="O31">
        <f t="shared" si="2"/>
        <v>1</v>
      </c>
      <c r="P31" t="str">
        <f t="shared" si="3"/>
        <v>DevonportMoveGP</v>
      </c>
    </row>
    <row r="32" spans="1:16" x14ac:dyDescent="0.25">
      <c r="A32" cm="1">
        <f t="array" ref="A32">IF(ISNA(_xlfn.XLOOKUP(P32,$P$2:P31,$A$2:A31)),IF(COUNTIFS($P$2:P32,P32)=1,IF(COUNTIFS($C$2:C31,C32)=0,1,_xlfn.MAXIFS($A$2:A31,$C$2:C31,C32)+1),A31),_xlfn.XLOOKUP(P32,$P$2:P31,$A$2:A31))</f>
        <v>2</v>
      </c>
      <c r="B32" t="s">
        <v>19</v>
      </c>
      <c r="C32" t="s">
        <v>70</v>
      </c>
      <c r="D32" t="s">
        <v>29</v>
      </c>
      <c r="E32" t="s">
        <v>19</v>
      </c>
      <c r="F32" t="s">
        <v>28</v>
      </c>
      <c r="G32" t="s">
        <v>19</v>
      </c>
      <c r="H32" t="s">
        <v>25</v>
      </c>
      <c r="I32" t="s">
        <v>39</v>
      </c>
      <c r="J32" t="s">
        <v>33</v>
      </c>
      <c r="K32">
        <v>3</v>
      </c>
      <c r="L32" t="s">
        <v>27</v>
      </c>
      <c r="M32" t="str">
        <f t="shared" si="0"/>
        <v>DevonportMoveSHIPGP</v>
      </c>
      <c r="N32" t="str">
        <f t="shared" si="1"/>
        <v>NewcastleStoreGP_STOREGP</v>
      </c>
      <c r="O32">
        <f t="shared" si="2"/>
        <v>1</v>
      </c>
      <c r="P32" t="str">
        <f t="shared" si="3"/>
        <v>DevonportMoveGP</v>
      </c>
    </row>
    <row r="33" spans="1:16" x14ac:dyDescent="0.25">
      <c r="A33" cm="1">
        <f t="array" ref="A33">IF(ISNA(_xlfn.XLOOKUP(P33,$P$2:P32,$A$2:A32)),IF(COUNTIFS($P$2:P33,P33)=1,IF(COUNTIFS($C$2:C32,C33)=0,1,_xlfn.MAXIFS($A$2:A32,$C$2:C32,C33)+1),A32),_xlfn.XLOOKUP(P33,$P$2:P32,$A$2:A32))</f>
        <v>1</v>
      </c>
      <c r="B33" t="s">
        <v>19</v>
      </c>
      <c r="C33" t="s">
        <v>150</v>
      </c>
      <c r="D33" t="s">
        <v>26</v>
      </c>
      <c r="E33" t="s">
        <v>24</v>
      </c>
      <c r="F33" t="s">
        <v>25</v>
      </c>
      <c r="G33" t="s">
        <v>24</v>
      </c>
      <c r="H33" t="s">
        <v>28</v>
      </c>
      <c r="I33" t="s">
        <v>150</v>
      </c>
      <c r="J33" t="s">
        <v>29</v>
      </c>
      <c r="K33">
        <v>2</v>
      </c>
      <c r="L33" t="s">
        <v>27</v>
      </c>
      <c r="M33" t="str">
        <f t="shared" si="0"/>
        <v>Import_CLStoreCL_STORECL</v>
      </c>
      <c r="N33" t="str">
        <f t="shared" si="1"/>
        <v>Import_CLMoveSHIPCL</v>
      </c>
      <c r="O33">
        <f t="shared" si="2"/>
        <v>2</v>
      </c>
      <c r="P33" t="str">
        <f t="shared" si="3"/>
        <v>Import_CLStoreCL</v>
      </c>
    </row>
    <row r="34" spans="1:16" x14ac:dyDescent="0.25">
      <c r="A34" cm="1">
        <f t="array" ref="A34">IF(ISNA(_xlfn.XLOOKUP(P34,$P$2:P33,$A$2:A33)),IF(COUNTIFS($P$2:P34,P34)=1,IF(COUNTIFS($C$2:C33,C34)=0,1,_xlfn.MAXIFS($A$2:A33,$C$2:C33,C34)+1),A33),_xlfn.XLOOKUP(P34,$P$2:P33,$A$2:A33))</f>
        <v>2</v>
      </c>
      <c r="B34" t="s">
        <v>19</v>
      </c>
      <c r="C34" t="s">
        <v>150</v>
      </c>
      <c r="D34" t="s">
        <v>29</v>
      </c>
      <c r="E34" t="s">
        <v>24</v>
      </c>
      <c r="F34" t="s">
        <v>28</v>
      </c>
      <c r="G34" t="s">
        <v>24</v>
      </c>
      <c r="H34" t="s">
        <v>25</v>
      </c>
      <c r="I34" t="s">
        <v>38</v>
      </c>
      <c r="J34" t="s">
        <v>46</v>
      </c>
      <c r="K34">
        <v>3</v>
      </c>
      <c r="M34" t="str">
        <f t="shared" ref="M34:M67" si="4">C34&amp;F34&amp;D34&amp;E34</f>
        <v>Import_CLMoveSHIPCL</v>
      </c>
      <c r="N34" t="str">
        <f t="shared" ref="N34:N64" si="5">I34&amp;H34&amp;J34&amp;G34</f>
        <v>Port KemblaStoreCL_STORE_ICL</v>
      </c>
      <c r="O34">
        <f t="shared" ref="O34:O64" si="6">COUNTIFS(M:M,N34)</f>
        <v>1</v>
      </c>
      <c r="P34" t="str">
        <f t="shared" ref="P34:P68" si="7">C34&amp;F34&amp;G34</f>
        <v>Import_CLMoveCL</v>
      </c>
    </row>
    <row r="35" spans="1:16" x14ac:dyDescent="0.25">
      <c r="A35" cm="1">
        <f t="array" ref="A35">IF(ISNA(_xlfn.XLOOKUP(P35,$P$2:P34,$A$2:A34)),IF(COUNTIFS($P$2:P35,P35)=1,IF(COUNTIFS($C$2:C34,C35)=0,1,_xlfn.MAXIFS($A$2:A34,$C$2:C34,C35)+1),A34),_xlfn.XLOOKUP(P35,$P$2:P34,$A$2:A34))</f>
        <v>2</v>
      </c>
      <c r="B35" t="s">
        <v>19</v>
      </c>
      <c r="C35" t="s">
        <v>150</v>
      </c>
      <c r="D35" t="s">
        <v>29</v>
      </c>
      <c r="E35" t="s">
        <v>24</v>
      </c>
      <c r="F35" t="s">
        <v>28</v>
      </c>
      <c r="G35" t="s">
        <v>24</v>
      </c>
      <c r="H35" t="s">
        <v>25</v>
      </c>
      <c r="I35" t="s">
        <v>30</v>
      </c>
      <c r="J35" t="s">
        <v>46</v>
      </c>
      <c r="K35">
        <v>3</v>
      </c>
      <c r="M35" t="str">
        <f t="shared" si="4"/>
        <v>Import_CLMoveSHIPCL</v>
      </c>
      <c r="N35" t="str">
        <f t="shared" si="5"/>
        <v>Bulwer IslandStoreCL_STORE_ICL</v>
      </c>
      <c r="O35">
        <f t="shared" si="6"/>
        <v>2</v>
      </c>
      <c r="P35" t="str">
        <f t="shared" si="7"/>
        <v>Import_CLMoveCL</v>
      </c>
    </row>
    <row r="36" spans="1:16" x14ac:dyDescent="0.25">
      <c r="A36" cm="1">
        <f t="array" ref="A36">IF(ISNA(_xlfn.XLOOKUP(P36,$P$2:P35,$A$2:A35)),IF(COUNTIFS($P$2:P36,P36)=1,IF(COUNTIFS($C$2:C35,C36)=0,1,_xlfn.MAXIFS($A$2:A35,$C$2:C35,C36)+1),A35),_xlfn.XLOOKUP(P36,$P$2:P35,$A$2:A35))</f>
        <v>1</v>
      </c>
      <c r="B36" t="s">
        <v>19</v>
      </c>
      <c r="C36" t="s">
        <v>30</v>
      </c>
      <c r="D36" t="s">
        <v>26</v>
      </c>
      <c r="E36" t="s">
        <v>24</v>
      </c>
      <c r="F36" t="s">
        <v>25</v>
      </c>
      <c r="G36" t="s">
        <v>24</v>
      </c>
      <c r="H36" t="s">
        <v>23</v>
      </c>
      <c r="I36" t="s">
        <v>30</v>
      </c>
      <c r="J36" t="s">
        <v>47</v>
      </c>
      <c r="K36">
        <v>2</v>
      </c>
      <c r="M36" t="str">
        <f t="shared" si="4"/>
        <v>Bulwer IslandStoreCL_STORECL</v>
      </c>
      <c r="N36" t="str">
        <f t="shared" si="5"/>
        <v>Bulwer IslandMakeCM10CL</v>
      </c>
      <c r="O36">
        <f t="shared" si="6"/>
        <v>1</v>
      </c>
      <c r="P36" t="str">
        <f t="shared" si="7"/>
        <v>Bulwer IslandStoreCL</v>
      </c>
    </row>
    <row r="37" spans="1:16" x14ac:dyDescent="0.25">
      <c r="A37" cm="1">
        <f t="array" ref="A37">IF(ISNA(_xlfn.XLOOKUP(P37,$P$2:P36,$A$2:A36)),IF(COUNTIFS($P$2:P37,P37)=1,IF(COUNTIFS($C$2:C36,C37)=0,1,_xlfn.MAXIFS($A$2:A36,$C$2:C36,C37)+1),A36),_xlfn.XLOOKUP(P37,$P$2:P36,$A$2:A36))</f>
        <v>1</v>
      </c>
      <c r="B37" t="s">
        <v>19</v>
      </c>
      <c r="C37" t="s">
        <v>30</v>
      </c>
      <c r="D37" t="s">
        <v>26</v>
      </c>
      <c r="E37" t="s">
        <v>24</v>
      </c>
      <c r="F37" t="s">
        <v>25</v>
      </c>
      <c r="G37" t="s">
        <v>24</v>
      </c>
      <c r="H37" t="s">
        <v>23</v>
      </c>
      <c r="I37" t="s">
        <v>30</v>
      </c>
      <c r="J37" t="s">
        <v>48</v>
      </c>
      <c r="K37">
        <v>2</v>
      </c>
      <c r="M37" t="str">
        <f t="shared" si="4"/>
        <v>Bulwer IslandStoreCL_STORECL</v>
      </c>
      <c r="N37" t="str">
        <f t="shared" si="5"/>
        <v>Bulwer IslandMakeCM11CL</v>
      </c>
      <c r="O37">
        <f t="shared" si="6"/>
        <v>1</v>
      </c>
      <c r="P37" t="str">
        <f t="shared" si="7"/>
        <v>Bulwer IslandStoreCL</v>
      </c>
    </row>
    <row r="38" spans="1:16" x14ac:dyDescent="0.25">
      <c r="A38" cm="1">
        <f t="array" ref="A38">IF(ISNA(_xlfn.XLOOKUP(P38,$P$2:P37,$A$2:A37)),IF(COUNTIFS($P$2:P38,P38)=1,IF(COUNTIFS($C$2:C37,C38)=0,1,_xlfn.MAXIFS($A$2:A37,$C$2:C37,C38)+1),A37),_xlfn.XLOOKUP(P38,$P$2:P37,$A$2:A37))</f>
        <v>1</v>
      </c>
      <c r="B38" t="s">
        <v>19</v>
      </c>
      <c r="C38" t="s">
        <v>30</v>
      </c>
      <c r="D38" t="s">
        <v>46</v>
      </c>
      <c r="E38" t="s">
        <v>24</v>
      </c>
      <c r="F38" t="s">
        <v>25</v>
      </c>
      <c r="G38" t="s">
        <v>24</v>
      </c>
      <c r="H38" t="s">
        <v>23</v>
      </c>
      <c r="I38" t="s">
        <v>30</v>
      </c>
      <c r="J38" t="s">
        <v>47</v>
      </c>
      <c r="K38">
        <v>2</v>
      </c>
      <c r="L38" t="s">
        <v>27</v>
      </c>
      <c r="M38" t="str">
        <f t="shared" si="4"/>
        <v>Bulwer IslandStoreCL_STORE_ICL</v>
      </c>
      <c r="N38" t="str">
        <f t="shared" si="5"/>
        <v>Bulwer IslandMakeCM10CL</v>
      </c>
      <c r="O38">
        <f t="shared" si="6"/>
        <v>1</v>
      </c>
      <c r="P38" t="str">
        <f t="shared" si="7"/>
        <v>Bulwer IslandStoreCL</v>
      </c>
    </row>
    <row r="39" spans="1:16" x14ac:dyDescent="0.25">
      <c r="A39" cm="1">
        <f t="array" ref="A39">IF(ISNA(_xlfn.XLOOKUP(P39,$P$2:P38,$A$2:A38)),IF(COUNTIFS($P$2:P39,P39)=1,IF(COUNTIFS($C$2:C38,C39)=0,1,_xlfn.MAXIFS($A$2:A38,$C$2:C38,C39)+1),A38),_xlfn.XLOOKUP(P39,$P$2:P38,$A$2:A38))</f>
        <v>1</v>
      </c>
      <c r="B39" t="s">
        <v>19</v>
      </c>
      <c r="C39" t="s">
        <v>30</v>
      </c>
      <c r="D39" t="s">
        <v>46</v>
      </c>
      <c r="E39" t="s">
        <v>24</v>
      </c>
      <c r="F39" t="s">
        <v>25</v>
      </c>
      <c r="G39" t="s">
        <v>24</v>
      </c>
      <c r="H39" t="s">
        <v>23</v>
      </c>
      <c r="I39" t="s">
        <v>30</v>
      </c>
      <c r="J39" t="s">
        <v>48</v>
      </c>
      <c r="K39">
        <v>2</v>
      </c>
      <c r="L39" t="s">
        <v>27</v>
      </c>
      <c r="M39" t="str">
        <f t="shared" si="4"/>
        <v>Bulwer IslandStoreCL_STORE_ICL</v>
      </c>
      <c r="N39" t="str">
        <f t="shared" si="5"/>
        <v>Bulwer IslandMakeCM11CL</v>
      </c>
      <c r="O39">
        <f t="shared" si="6"/>
        <v>1</v>
      </c>
      <c r="P39" t="str">
        <f t="shared" si="7"/>
        <v>Bulwer IslandStoreCL</v>
      </c>
    </row>
    <row r="40" spans="1:16" x14ac:dyDescent="0.25">
      <c r="A40" cm="1">
        <f t="array" ref="A40">IF(ISNA(_xlfn.XLOOKUP(P40,$P$2:P39,$A$2:A39)),IF(COUNTIFS($P$2:P40,P40)=1,IF(COUNTIFS($C$2:C39,C40)=0,1,_xlfn.MAXIFS($A$2:A39,$C$2:C39,C40)+1),A39),_xlfn.XLOOKUP(P40,$P$2:P39,$A$2:A39))</f>
        <v>2</v>
      </c>
      <c r="B40" t="s">
        <v>19</v>
      </c>
      <c r="C40" t="s">
        <v>30</v>
      </c>
      <c r="D40" t="s">
        <v>47</v>
      </c>
      <c r="E40" t="s">
        <v>24</v>
      </c>
      <c r="F40" t="s">
        <v>23</v>
      </c>
      <c r="G40" t="s">
        <v>19</v>
      </c>
      <c r="H40" t="s">
        <v>25</v>
      </c>
      <c r="I40" t="s">
        <v>30</v>
      </c>
      <c r="J40" t="s">
        <v>33</v>
      </c>
      <c r="K40">
        <v>1</v>
      </c>
      <c r="M40" t="str">
        <f t="shared" si="4"/>
        <v>Bulwer IslandMakeCM10CL</v>
      </c>
      <c r="N40" t="str">
        <f t="shared" si="5"/>
        <v>Bulwer IslandStoreGP_STOREGP</v>
      </c>
      <c r="O40">
        <f t="shared" si="6"/>
        <v>1</v>
      </c>
      <c r="P40" t="str">
        <f t="shared" si="7"/>
        <v>Bulwer IslandMakeGP</v>
      </c>
    </row>
    <row r="41" spans="1:16" x14ac:dyDescent="0.25">
      <c r="A41" cm="1">
        <f t="array" ref="A41">IF(ISNA(_xlfn.XLOOKUP(P41,$P$2:P40,$A$2:A40)),IF(COUNTIFS($P$2:P41,P41)=1,IF(COUNTIFS($C$2:C40,C41)=0,1,_xlfn.MAXIFS($A$2:A40,$C$2:C40,C41)+1),A40),_xlfn.XLOOKUP(P41,$P$2:P40,$A$2:A40))</f>
        <v>2</v>
      </c>
      <c r="B41" t="s">
        <v>19</v>
      </c>
      <c r="C41" t="s">
        <v>30</v>
      </c>
      <c r="D41" t="s">
        <v>48</v>
      </c>
      <c r="E41" t="s">
        <v>24</v>
      </c>
      <c r="F41" t="s">
        <v>23</v>
      </c>
      <c r="G41" t="s">
        <v>19</v>
      </c>
      <c r="H41" t="s">
        <v>25</v>
      </c>
      <c r="I41" t="s">
        <v>30</v>
      </c>
      <c r="J41" t="s">
        <v>33</v>
      </c>
      <c r="K41">
        <v>1</v>
      </c>
      <c r="L41" t="s">
        <v>27</v>
      </c>
      <c r="M41" t="str">
        <f t="shared" si="4"/>
        <v>Bulwer IslandMakeCM11CL</v>
      </c>
      <c r="N41" t="str">
        <f t="shared" si="5"/>
        <v>Bulwer IslandStoreGP_STOREGP</v>
      </c>
      <c r="O41">
        <f t="shared" si="6"/>
        <v>1</v>
      </c>
      <c r="P41" t="str">
        <f t="shared" si="7"/>
        <v>Bulwer IslandMakeGP</v>
      </c>
    </row>
    <row r="42" spans="1:16" x14ac:dyDescent="0.25">
      <c r="A42" cm="1">
        <f t="array" ref="A42">IF(ISNA(_xlfn.XLOOKUP(P42,$P$2:P41,$A$2:A41)),IF(COUNTIFS($P$2:P42,P42)=1,IF(COUNTIFS($C$2:C41,C42)=0,1,_xlfn.MAXIFS($A$2:A41,$C$2:C41,C42)+1),A41),_xlfn.XLOOKUP(P42,$P$2:P41,$A$2:A41))</f>
        <v>3</v>
      </c>
      <c r="B42" t="s">
        <v>19</v>
      </c>
      <c r="C42" t="s">
        <v>30</v>
      </c>
      <c r="D42" t="s">
        <v>33</v>
      </c>
      <c r="E42" t="s">
        <v>19</v>
      </c>
      <c r="F42" t="s">
        <v>25</v>
      </c>
      <c r="G42" t="s">
        <v>19</v>
      </c>
      <c r="H42" t="s">
        <v>35</v>
      </c>
      <c r="I42" t="s">
        <v>30</v>
      </c>
      <c r="J42" t="s">
        <v>36</v>
      </c>
      <c r="K42">
        <v>2</v>
      </c>
      <c r="L42" t="s">
        <v>27</v>
      </c>
      <c r="M42" t="str">
        <f t="shared" si="4"/>
        <v>Bulwer IslandStoreGP_STOREGP</v>
      </c>
      <c r="N42" t="str">
        <f t="shared" si="5"/>
        <v>Bulwer IslandDeliverTRUCKGP</v>
      </c>
      <c r="O42">
        <f t="shared" si="6"/>
        <v>1</v>
      </c>
      <c r="P42" t="str">
        <f t="shared" si="7"/>
        <v>Bulwer IslandStoreGP</v>
      </c>
    </row>
    <row r="43" spans="1:16" x14ac:dyDescent="0.25">
      <c r="A43" cm="1">
        <f t="array" ref="A43">IF(ISNA(_xlfn.XLOOKUP(P43,$P$2:P42,$A$2:A42)),IF(COUNTIFS($P$2:P43,P43)=1,IF(COUNTIFS($C$2:C42,C43)=0,1,_xlfn.MAXIFS($A$2:A42,$C$2:C42,C43)+1),A42),_xlfn.XLOOKUP(P43,$P$2:P42,$A$2:A42))</f>
        <v>4</v>
      </c>
      <c r="B43" t="s">
        <v>19</v>
      </c>
      <c r="C43" t="s">
        <v>30</v>
      </c>
      <c r="D43" t="s">
        <v>36</v>
      </c>
      <c r="E43" t="s">
        <v>19</v>
      </c>
      <c r="F43" t="s">
        <v>35</v>
      </c>
      <c r="G43" t="s">
        <v>19</v>
      </c>
      <c r="K43">
        <v>4</v>
      </c>
      <c r="L43" t="s">
        <v>27</v>
      </c>
      <c r="M43" t="str">
        <f t="shared" si="4"/>
        <v>Bulwer IslandDeliverTRUCKGP</v>
      </c>
      <c r="N43" t="str">
        <f t="shared" si="5"/>
        <v>GP</v>
      </c>
      <c r="O43">
        <f t="shared" si="6"/>
        <v>0</v>
      </c>
      <c r="P43" t="str">
        <f t="shared" si="7"/>
        <v>Bulwer IslandDeliverGP</v>
      </c>
    </row>
    <row r="44" spans="1:16" x14ac:dyDescent="0.25">
      <c r="A44" cm="1">
        <f t="array" ref="A44">IF(ISNA(_xlfn.XLOOKUP(P44,$P$2:P43,$A$2:A43)),IF(COUNTIFS($P$2:P44,P44)=1,IF(COUNTIFS($C$2:C43,C44)=0,1,_xlfn.MAXIFS($A$2:A43,$C$2:C43,C44)+1),A43),_xlfn.XLOOKUP(P44,$P$2:P43,$A$2:A43))</f>
        <v>1</v>
      </c>
      <c r="B44" t="s">
        <v>19</v>
      </c>
      <c r="C44" t="s">
        <v>38</v>
      </c>
      <c r="D44" t="s">
        <v>46</v>
      </c>
      <c r="E44" t="s">
        <v>24</v>
      </c>
      <c r="F44" t="s">
        <v>25</v>
      </c>
      <c r="G44" t="s">
        <v>24</v>
      </c>
      <c r="H44" t="s">
        <v>23</v>
      </c>
      <c r="I44" t="s">
        <v>38</v>
      </c>
      <c r="J44" t="s">
        <v>49</v>
      </c>
      <c r="K44">
        <v>2</v>
      </c>
      <c r="L44" t="s">
        <v>27</v>
      </c>
      <c r="M44" t="str">
        <f t="shared" si="4"/>
        <v>Port KemblaStoreCL_STORE_ICL</v>
      </c>
      <c r="N44" t="str">
        <f t="shared" si="5"/>
        <v>Port KemblaMakeVRMCL</v>
      </c>
      <c r="O44">
        <f t="shared" si="6"/>
        <v>1</v>
      </c>
      <c r="P44" t="str">
        <f t="shared" si="7"/>
        <v>Port KemblaStoreCL</v>
      </c>
    </row>
    <row r="45" spans="1:16" x14ac:dyDescent="0.25">
      <c r="A45" cm="1">
        <f t="array" ref="A45">IF(ISNA(_xlfn.XLOOKUP(P45,$P$2:P44,$A$2:A44)),IF(COUNTIFS($P$2:P45,P45)=1,IF(COUNTIFS($C$2:C44,C45)=0,1,_xlfn.MAXIFS($A$2:A44,$C$2:C44,C45)+1),A44),_xlfn.XLOOKUP(P45,$P$2:P44,$A$2:A44))</f>
        <v>2</v>
      </c>
      <c r="B45" t="s">
        <v>19</v>
      </c>
      <c r="C45" t="s">
        <v>38</v>
      </c>
      <c r="D45" t="s">
        <v>49</v>
      </c>
      <c r="E45" t="s">
        <v>24</v>
      </c>
      <c r="F45" t="s">
        <v>23</v>
      </c>
      <c r="G45" t="s">
        <v>19</v>
      </c>
      <c r="H45" t="s">
        <v>25</v>
      </c>
      <c r="I45" t="s">
        <v>38</v>
      </c>
      <c r="J45" t="s">
        <v>33</v>
      </c>
      <c r="K45">
        <v>1</v>
      </c>
      <c r="L45" t="s">
        <v>27</v>
      </c>
      <c r="M45" t="str">
        <f t="shared" si="4"/>
        <v>Port KemblaMakeVRMCL</v>
      </c>
      <c r="N45" t="str">
        <f t="shared" si="5"/>
        <v>Port KemblaStoreGP_STOREGP</v>
      </c>
      <c r="O45">
        <f t="shared" si="6"/>
        <v>2</v>
      </c>
      <c r="P45" t="str">
        <f t="shared" si="7"/>
        <v>Port KemblaMakeGP</v>
      </c>
    </row>
    <row r="46" spans="1:16" x14ac:dyDescent="0.25">
      <c r="A46" cm="1">
        <f t="array" ref="A46">IF(ISNA(_xlfn.XLOOKUP(P46,$P$2:P45,$A$2:A45)),IF(COUNTIFS($P$2:P46,P46)=1,IF(COUNTIFS($C$2:C45,C46)=0,1,_xlfn.MAXIFS($A$2:A45,$C$2:C45,C46)+1),A45),_xlfn.XLOOKUP(P46,$P$2:P45,$A$2:A45))</f>
        <v>3</v>
      </c>
      <c r="B46" t="s">
        <v>19</v>
      </c>
      <c r="C46" t="s">
        <v>38</v>
      </c>
      <c r="D46" t="s">
        <v>33</v>
      </c>
      <c r="E46" t="s">
        <v>19</v>
      </c>
      <c r="F46" t="s">
        <v>25</v>
      </c>
      <c r="G46" t="s">
        <v>19</v>
      </c>
      <c r="H46" t="s">
        <v>28</v>
      </c>
      <c r="I46" t="s">
        <v>38</v>
      </c>
      <c r="J46" t="s">
        <v>34</v>
      </c>
      <c r="K46">
        <v>2</v>
      </c>
      <c r="M46" t="str">
        <f t="shared" si="4"/>
        <v>Port KemblaStoreGP_STOREGP</v>
      </c>
      <c r="N46" t="str">
        <f t="shared" si="5"/>
        <v>Port KemblaMoveTRAINGP</v>
      </c>
      <c r="O46">
        <f t="shared" si="6"/>
        <v>3</v>
      </c>
      <c r="P46" t="str">
        <f t="shared" si="7"/>
        <v>Port KemblaStoreGP</v>
      </c>
    </row>
    <row r="47" spans="1:16" x14ac:dyDescent="0.25">
      <c r="A47" cm="1">
        <f t="array" ref="A47">IF(ISNA(_xlfn.XLOOKUP(P47,$P$2:P46,$A$2:A46)),IF(COUNTIFS($P$2:P47,P47)=1,IF(COUNTIFS($C$2:C46,C47)=0,1,_xlfn.MAXIFS($A$2:A46,$C$2:C46,C47)+1),A46),_xlfn.XLOOKUP(P47,$P$2:P46,$A$2:A46))</f>
        <v>3</v>
      </c>
      <c r="B47" t="s">
        <v>19</v>
      </c>
      <c r="C47" t="s">
        <v>38</v>
      </c>
      <c r="D47" t="s">
        <v>33</v>
      </c>
      <c r="E47" t="s">
        <v>19</v>
      </c>
      <c r="F47" t="s">
        <v>25</v>
      </c>
      <c r="G47" t="s">
        <v>19</v>
      </c>
      <c r="H47" t="s">
        <v>35</v>
      </c>
      <c r="I47" t="s">
        <v>38</v>
      </c>
      <c r="J47" t="s">
        <v>36</v>
      </c>
      <c r="K47">
        <v>2</v>
      </c>
      <c r="M47" t="str">
        <f t="shared" si="4"/>
        <v>Port KemblaStoreGP_STOREGP</v>
      </c>
      <c r="N47" t="str">
        <f t="shared" si="5"/>
        <v>Port KemblaDeliverTRUCKGP</v>
      </c>
      <c r="O47">
        <f t="shared" si="6"/>
        <v>1</v>
      </c>
      <c r="P47" t="str">
        <f t="shared" si="7"/>
        <v>Port KemblaStoreGP</v>
      </c>
    </row>
    <row r="48" spans="1:16" x14ac:dyDescent="0.25">
      <c r="A48" cm="1">
        <f t="array" ref="A48">IF(ISNA(_xlfn.XLOOKUP(P48,$P$2:P47,$A$2:A47)),IF(COUNTIFS($P$2:P48,P48)=1,IF(COUNTIFS($C$2:C47,C48)=0,1,_xlfn.MAXIFS($A$2:A47,$C$2:C47,C48)+1),A47),_xlfn.XLOOKUP(P48,$P$2:P47,$A$2:A47))</f>
        <v>4</v>
      </c>
      <c r="B48" t="s">
        <v>19</v>
      </c>
      <c r="C48" t="s">
        <v>38</v>
      </c>
      <c r="D48" t="s">
        <v>34</v>
      </c>
      <c r="E48" t="s">
        <v>19</v>
      </c>
      <c r="F48" t="s">
        <v>28</v>
      </c>
      <c r="G48" t="s">
        <v>19</v>
      </c>
      <c r="H48" t="s">
        <v>25</v>
      </c>
      <c r="I48" t="s">
        <v>50</v>
      </c>
      <c r="J48" t="s">
        <v>33</v>
      </c>
      <c r="K48">
        <v>3</v>
      </c>
      <c r="M48" t="str">
        <f t="shared" si="4"/>
        <v>Port KemblaMoveTRAINGP</v>
      </c>
      <c r="N48" t="str">
        <f t="shared" si="5"/>
        <v>AlburyStoreGP_STOREGP</v>
      </c>
      <c r="O48">
        <f t="shared" si="6"/>
        <v>1</v>
      </c>
      <c r="P48" t="str">
        <f t="shared" si="7"/>
        <v>Port KemblaMoveGP</v>
      </c>
    </row>
    <row r="49" spans="1:16" x14ac:dyDescent="0.25">
      <c r="A49" cm="1">
        <f t="array" ref="A49">IF(ISNA(_xlfn.XLOOKUP(P49,$P$2:P48,$A$2:A48)),IF(COUNTIFS($P$2:P49,P49)=1,IF(COUNTIFS($C$2:C48,C49)=0,1,_xlfn.MAXIFS($A$2:A48,$C$2:C48,C49)+1),A48),_xlfn.XLOOKUP(P49,$P$2:P48,$A$2:A48))</f>
        <v>4</v>
      </c>
      <c r="B49" t="s">
        <v>19</v>
      </c>
      <c r="C49" t="s">
        <v>38</v>
      </c>
      <c r="D49" t="s">
        <v>34</v>
      </c>
      <c r="E49" t="s">
        <v>19</v>
      </c>
      <c r="F49" t="s">
        <v>28</v>
      </c>
      <c r="G49" t="s">
        <v>19</v>
      </c>
      <c r="H49" t="s">
        <v>25</v>
      </c>
      <c r="I49" t="s">
        <v>51</v>
      </c>
      <c r="J49" t="s">
        <v>33</v>
      </c>
      <c r="K49">
        <v>3</v>
      </c>
      <c r="M49" t="str">
        <f t="shared" si="4"/>
        <v>Port KemblaMoveTRAINGP</v>
      </c>
      <c r="N49" t="str">
        <f t="shared" si="5"/>
        <v>WaggaStoreGP_STOREGP</v>
      </c>
      <c r="O49">
        <f t="shared" si="6"/>
        <v>1</v>
      </c>
      <c r="P49" t="str">
        <f t="shared" si="7"/>
        <v>Port KemblaMoveGP</v>
      </c>
    </row>
    <row r="50" spans="1:16" x14ac:dyDescent="0.25">
      <c r="A50" cm="1">
        <f t="array" ref="A50">IF(ISNA(_xlfn.XLOOKUP(P50,$P$2:P49,$A$2:A49)),IF(COUNTIFS($P$2:P50,P50)=1,IF(COUNTIFS($C$2:C49,C50)=0,1,_xlfn.MAXIFS($A$2:A49,$C$2:C49,C50)+1),A49),_xlfn.XLOOKUP(P50,$P$2:P49,$A$2:A49))</f>
        <v>4</v>
      </c>
      <c r="B50" t="s">
        <v>19</v>
      </c>
      <c r="C50" t="s">
        <v>38</v>
      </c>
      <c r="D50" t="s">
        <v>34</v>
      </c>
      <c r="E50" t="s">
        <v>19</v>
      </c>
      <c r="F50" t="s">
        <v>28</v>
      </c>
      <c r="G50" t="s">
        <v>19</v>
      </c>
      <c r="H50" t="s">
        <v>25</v>
      </c>
      <c r="I50" t="s">
        <v>52</v>
      </c>
      <c r="J50" t="s">
        <v>33</v>
      </c>
      <c r="K50">
        <v>3</v>
      </c>
      <c r="M50" t="str">
        <f t="shared" si="4"/>
        <v>Port KemblaMoveTRAINGP</v>
      </c>
      <c r="N50" t="str">
        <f t="shared" si="5"/>
        <v>ClydeStoreGP_STOREGP</v>
      </c>
      <c r="O50">
        <f t="shared" si="6"/>
        <v>1</v>
      </c>
      <c r="P50" t="str">
        <f t="shared" si="7"/>
        <v>Port KemblaMoveGP</v>
      </c>
    </row>
    <row r="51" spans="1:16" x14ac:dyDescent="0.25">
      <c r="A51" s="1">
        <v>4</v>
      </c>
      <c r="B51" t="s">
        <v>19</v>
      </c>
      <c r="C51" t="s">
        <v>38</v>
      </c>
      <c r="D51" t="s">
        <v>36</v>
      </c>
      <c r="E51" t="s">
        <v>19</v>
      </c>
      <c r="F51" t="s">
        <v>35</v>
      </c>
      <c r="G51" t="s">
        <v>19</v>
      </c>
      <c r="K51">
        <v>4</v>
      </c>
      <c r="M51" t="str">
        <f t="shared" si="4"/>
        <v>Port KemblaDeliverTRUCKGP</v>
      </c>
      <c r="N51" t="str">
        <f t="shared" si="5"/>
        <v>GP</v>
      </c>
      <c r="O51">
        <f t="shared" si="6"/>
        <v>0</v>
      </c>
      <c r="P51" t="str">
        <f t="shared" si="7"/>
        <v>Port KemblaDeliverGP</v>
      </c>
    </row>
    <row r="52" spans="1:16" x14ac:dyDescent="0.25">
      <c r="A52" cm="1">
        <f t="array" ref="A52">IF(ISNA(_xlfn.XLOOKUP(P52,$P$2:P51,$A$2:A51)),IF(COUNTIFS($P$2:P52,P52)=1,IF(COUNTIFS($C$2:C51,C52)=0,1,_xlfn.MAXIFS($A$2:A51,$C$2:C51,C52)+1),A51),_xlfn.XLOOKUP(P52,$P$2:P51,$A$2:A51))</f>
        <v>1</v>
      </c>
      <c r="B52" t="s">
        <v>19</v>
      </c>
      <c r="C52" t="s">
        <v>39</v>
      </c>
      <c r="D52" t="s">
        <v>33</v>
      </c>
      <c r="E52" t="s">
        <v>19</v>
      </c>
      <c r="F52" t="s">
        <v>25</v>
      </c>
      <c r="G52" t="s">
        <v>19</v>
      </c>
      <c r="H52" t="s">
        <v>35</v>
      </c>
      <c r="I52" t="s">
        <v>39</v>
      </c>
      <c r="J52" t="s">
        <v>36</v>
      </c>
      <c r="K52">
        <v>2</v>
      </c>
      <c r="M52" t="str">
        <f t="shared" si="4"/>
        <v>NewcastleStoreGP_STOREGP</v>
      </c>
      <c r="N52" t="str">
        <f t="shared" si="5"/>
        <v>NewcastleDeliverTRUCKGP</v>
      </c>
      <c r="O52">
        <f t="shared" si="6"/>
        <v>1</v>
      </c>
      <c r="P52" t="str">
        <f t="shared" si="7"/>
        <v>NewcastleStoreGP</v>
      </c>
    </row>
    <row r="53" spans="1:16" x14ac:dyDescent="0.25">
      <c r="A53" cm="1">
        <f t="array" ref="A53">IF(ISNA(_xlfn.XLOOKUP(P53,$P$2:P52,$A$2:A52)),IF(COUNTIFS($P$2:P53,P53)=1,IF(COUNTIFS($C$2:C52,C53)=0,1,_xlfn.MAXIFS($A$2:A52,$C$2:C52,C53)+1),A52),_xlfn.XLOOKUP(P53,$P$2:P52,$A$2:A52))</f>
        <v>2</v>
      </c>
      <c r="B53" t="s">
        <v>19</v>
      </c>
      <c r="C53" t="s">
        <v>39</v>
      </c>
      <c r="D53" t="s">
        <v>36</v>
      </c>
      <c r="E53" t="s">
        <v>19</v>
      </c>
      <c r="F53" t="s">
        <v>35</v>
      </c>
      <c r="G53" t="s">
        <v>19</v>
      </c>
      <c r="K53">
        <v>4</v>
      </c>
      <c r="M53" t="str">
        <f t="shared" si="4"/>
        <v>NewcastleDeliverTRUCKGP</v>
      </c>
      <c r="N53" t="str">
        <f t="shared" si="5"/>
        <v>GP</v>
      </c>
      <c r="O53">
        <f t="shared" si="6"/>
        <v>0</v>
      </c>
      <c r="P53" t="str">
        <f t="shared" si="7"/>
        <v>NewcastleDeliverGP</v>
      </c>
    </row>
    <row r="54" spans="1:16" x14ac:dyDescent="0.25">
      <c r="A54" cm="1">
        <f t="array" ref="A54">IF(ISNA(_xlfn.XLOOKUP(P54,$P$2:P53,$A$2:A53)),IF(COUNTIFS($P$2:P54,P54)=1,IF(COUNTIFS($C$2:C53,C54)=0,1,_xlfn.MAXIFS($A$2:A53,$C$2:C53,C54)+1),A53),_xlfn.XLOOKUP(P54,$P$2:P53,$A$2:A53))</f>
        <v>1</v>
      </c>
      <c r="B54" t="s">
        <v>19</v>
      </c>
      <c r="C54" t="s">
        <v>45</v>
      </c>
      <c r="D54" t="s">
        <v>33</v>
      </c>
      <c r="E54" t="s">
        <v>19</v>
      </c>
      <c r="F54" t="s">
        <v>25</v>
      </c>
      <c r="G54" t="s">
        <v>19</v>
      </c>
      <c r="H54" t="s">
        <v>35</v>
      </c>
      <c r="I54" t="s">
        <v>45</v>
      </c>
      <c r="J54" t="s">
        <v>36</v>
      </c>
      <c r="K54">
        <v>2</v>
      </c>
      <c r="M54" t="str">
        <f t="shared" si="4"/>
        <v>MelbourneStoreGP_STOREGP</v>
      </c>
      <c r="N54" t="str">
        <f t="shared" si="5"/>
        <v>MelbourneDeliverTRUCKGP</v>
      </c>
      <c r="O54">
        <f t="shared" si="6"/>
        <v>1</v>
      </c>
      <c r="P54" t="str">
        <f t="shared" si="7"/>
        <v>MelbourneStoreGP</v>
      </c>
    </row>
    <row r="55" spans="1:16" x14ac:dyDescent="0.25">
      <c r="A55" cm="1">
        <f t="array" ref="A55">IF(ISNA(_xlfn.XLOOKUP(P55,$P$2:P54,$A$2:A54)),IF(COUNTIFS($P$2:P55,P55)=1,IF(COUNTIFS($C$2:C54,C55)=0,1,_xlfn.MAXIFS($A$2:A54,$C$2:C54,C55)+1),A54),_xlfn.XLOOKUP(P55,$P$2:P54,$A$2:A54))</f>
        <v>2</v>
      </c>
      <c r="B55" t="s">
        <v>19</v>
      </c>
      <c r="C55" t="s">
        <v>45</v>
      </c>
      <c r="D55" t="s">
        <v>36</v>
      </c>
      <c r="E55" t="s">
        <v>19</v>
      </c>
      <c r="F55" t="s">
        <v>35</v>
      </c>
      <c r="G55" t="s">
        <v>19</v>
      </c>
      <c r="K55">
        <v>4</v>
      </c>
      <c r="M55" t="str">
        <f t="shared" si="4"/>
        <v>MelbourneDeliverTRUCKGP</v>
      </c>
      <c r="N55" t="str">
        <f t="shared" si="5"/>
        <v>GP</v>
      </c>
      <c r="O55">
        <f t="shared" si="6"/>
        <v>0</v>
      </c>
      <c r="P55" t="str">
        <f t="shared" si="7"/>
        <v>MelbourneDeliverGP</v>
      </c>
    </row>
    <row r="56" spans="1:16" x14ac:dyDescent="0.25">
      <c r="A56" cm="1">
        <f t="array" ref="A56">IF(ISNA(_xlfn.XLOOKUP(P56,$P$2:P55,$A$2:A55)),IF(COUNTIFS($P$2:P56,P56)=1,IF(COUNTIFS($C$2:C55,C56)=0,1,_xlfn.MAXIFS($A$2:A55,$C$2:C55,C56)+1),A55),_xlfn.XLOOKUP(P56,$P$2:P55,$A$2:A55))</f>
        <v>1</v>
      </c>
      <c r="B56" t="s">
        <v>19</v>
      </c>
      <c r="C56" t="s">
        <v>147</v>
      </c>
      <c r="D56" t="s">
        <v>33</v>
      </c>
      <c r="E56" t="s">
        <v>19</v>
      </c>
      <c r="F56" t="s">
        <v>25</v>
      </c>
      <c r="G56" t="s">
        <v>19</v>
      </c>
      <c r="H56" t="s">
        <v>35</v>
      </c>
      <c r="I56" t="s">
        <v>147</v>
      </c>
      <c r="J56" t="s">
        <v>36</v>
      </c>
      <c r="K56">
        <v>2</v>
      </c>
      <c r="M56" t="str">
        <f t="shared" si="4"/>
        <v>OsborneStoreGP_STOREGP</v>
      </c>
      <c r="N56" t="str">
        <f t="shared" si="5"/>
        <v>OsborneDeliverTRUCKGP</v>
      </c>
      <c r="O56">
        <f t="shared" si="6"/>
        <v>1</v>
      </c>
      <c r="P56" t="str">
        <f t="shared" si="7"/>
        <v>OsborneStoreGP</v>
      </c>
    </row>
    <row r="57" spans="1:16" x14ac:dyDescent="0.25">
      <c r="A57" cm="1">
        <f t="array" ref="A57">IF(ISNA(_xlfn.XLOOKUP(P57,$P$2:P56,$A$2:A56)),IF(COUNTIFS($P$2:P57,P57)=1,IF(COUNTIFS($C$2:C56,C57)=0,1,_xlfn.MAXIFS($A$2:A56,$C$2:C56,C57)+1),A56),_xlfn.XLOOKUP(P57,$P$2:P56,$A$2:A56))</f>
        <v>2</v>
      </c>
      <c r="B57" t="s">
        <v>19</v>
      </c>
      <c r="C57" t="s">
        <v>147</v>
      </c>
      <c r="D57" t="s">
        <v>36</v>
      </c>
      <c r="E57" t="s">
        <v>19</v>
      </c>
      <c r="F57" t="s">
        <v>35</v>
      </c>
      <c r="G57" t="s">
        <v>19</v>
      </c>
      <c r="K57">
        <v>4</v>
      </c>
      <c r="M57" t="str">
        <f t="shared" si="4"/>
        <v>OsborneDeliverTRUCKGP</v>
      </c>
      <c r="N57" t="str">
        <f t="shared" si="5"/>
        <v>GP</v>
      </c>
      <c r="O57">
        <f t="shared" si="6"/>
        <v>0</v>
      </c>
      <c r="P57" t="str">
        <f t="shared" si="7"/>
        <v>OsborneDeliverGP</v>
      </c>
    </row>
    <row r="58" spans="1:16" x14ac:dyDescent="0.25">
      <c r="A58" cm="1">
        <f t="array" ref="A58">IF(ISNA(_xlfn.XLOOKUP(P58,$P$2:P57,$A$2:A57)),IF(COUNTIFS($P$2:P58,P58)=1,IF(COUNTIFS($C$2:C57,C58)=0,1,_xlfn.MAXIFS($A$2:A57,$C$2:C57,C58)+1),A57),_xlfn.XLOOKUP(P58,$P$2:P57,$A$2:A57))</f>
        <v>1</v>
      </c>
      <c r="B58" t="s">
        <v>19</v>
      </c>
      <c r="C58" t="s">
        <v>37</v>
      </c>
      <c r="D58" t="s">
        <v>33</v>
      </c>
      <c r="E58" t="s">
        <v>19</v>
      </c>
      <c r="F58" t="s">
        <v>25</v>
      </c>
      <c r="G58" t="s">
        <v>19</v>
      </c>
      <c r="H58" t="s">
        <v>35</v>
      </c>
      <c r="I58" t="s">
        <v>37</v>
      </c>
      <c r="J58" t="s">
        <v>36</v>
      </c>
      <c r="K58">
        <v>2</v>
      </c>
      <c r="M58" t="str">
        <f t="shared" si="4"/>
        <v>TownsvilleStoreGP_STOREGP</v>
      </c>
      <c r="N58" t="str">
        <f t="shared" si="5"/>
        <v>TownsvilleDeliverTRUCKGP</v>
      </c>
      <c r="O58">
        <f t="shared" si="6"/>
        <v>1</v>
      </c>
      <c r="P58" t="str">
        <f t="shared" si="7"/>
        <v>TownsvilleStoreGP</v>
      </c>
    </row>
    <row r="59" spans="1:16" x14ac:dyDescent="0.25">
      <c r="A59" cm="1">
        <f t="array" ref="A59">IF(ISNA(_xlfn.XLOOKUP(P59,$P$2:P58,$A$2:A58)),IF(COUNTIFS($P$2:P59,P59)=1,IF(COUNTIFS($C$2:C58,C59)=0,1,_xlfn.MAXIFS($A$2:A58,$C$2:C58,C59)+1),A58),_xlfn.XLOOKUP(P59,$P$2:P58,$A$2:A58))</f>
        <v>2</v>
      </c>
      <c r="B59" t="s">
        <v>19</v>
      </c>
      <c r="C59" t="s">
        <v>37</v>
      </c>
      <c r="D59" t="s">
        <v>36</v>
      </c>
      <c r="E59" t="s">
        <v>19</v>
      </c>
      <c r="F59" t="s">
        <v>35</v>
      </c>
      <c r="G59" t="s">
        <v>19</v>
      </c>
      <c r="K59">
        <v>4</v>
      </c>
      <c r="M59" t="str">
        <f t="shared" si="4"/>
        <v>TownsvilleDeliverTRUCKGP</v>
      </c>
      <c r="N59" t="str">
        <f t="shared" si="5"/>
        <v>GP</v>
      </c>
      <c r="O59">
        <f t="shared" si="6"/>
        <v>0</v>
      </c>
      <c r="P59" t="str">
        <f t="shared" si="7"/>
        <v>TownsvilleDeliverGP</v>
      </c>
    </row>
    <row r="60" spans="1:16" x14ac:dyDescent="0.25">
      <c r="A60" cm="1">
        <f t="array" ref="A60">IF(ISNA(_xlfn.XLOOKUP(P60,$P$2:P59,$A$2:A59)),IF(COUNTIFS($P$2:P60,P60)=1,IF(COUNTIFS($C$2:C59,C60)=0,1,_xlfn.MAXIFS($A$2:A59,$C$2:C59,C60)+1),A59),_xlfn.XLOOKUP(P60,$P$2:P59,$A$2:A59))</f>
        <v>1</v>
      </c>
      <c r="B60" t="s">
        <v>19</v>
      </c>
      <c r="C60" t="s">
        <v>40</v>
      </c>
      <c r="D60" t="s">
        <v>33</v>
      </c>
      <c r="E60" t="s">
        <v>19</v>
      </c>
      <c r="F60" t="s">
        <v>25</v>
      </c>
      <c r="G60" t="s">
        <v>19</v>
      </c>
      <c r="H60" t="s">
        <v>35</v>
      </c>
      <c r="I60" t="s">
        <v>40</v>
      </c>
      <c r="J60" t="s">
        <v>36</v>
      </c>
      <c r="K60">
        <v>2</v>
      </c>
      <c r="M60" t="str">
        <f t="shared" si="4"/>
        <v>MackayStoreGP_STOREGP</v>
      </c>
      <c r="N60" t="str">
        <f t="shared" si="5"/>
        <v>MackayDeliverTRUCKGP</v>
      </c>
      <c r="O60">
        <f t="shared" si="6"/>
        <v>1</v>
      </c>
      <c r="P60" t="str">
        <f t="shared" si="7"/>
        <v>MackayStoreGP</v>
      </c>
    </row>
    <row r="61" spans="1:16" x14ac:dyDescent="0.25">
      <c r="A61" cm="1">
        <f t="array" ref="A61">IF(ISNA(_xlfn.XLOOKUP(P61,$P$2:P60,$A$2:A60)),IF(COUNTIFS($P$2:P61,P61)=1,IF(COUNTIFS($C$2:C60,C61)=0,1,_xlfn.MAXIFS($A$2:A60,$C$2:C60,C61)+1),A60),_xlfn.XLOOKUP(P61,$P$2:P60,$A$2:A60))</f>
        <v>2</v>
      </c>
      <c r="B61" t="s">
        <v>19</v>
      </c>
      <c r="C61" t="s">
        <v>40</v>
      </c>
      <c r="D61" t="s">
        <v>36</v>
      </c>
      <c r="E61" t="s">
        <v>19</v>
      </c>
      <c r="F61" t="s">
        <v>35</v>
      </c>
      <c r="G61" t="s">
        <v>19</v>
      </c>
      <c r="K61">
        <v>4</v>
      </c>
      <c r="M61" t="str">
        <f t="shared" si="4"/>
        <v>MackayDeliverTRUCKGP</v>
      </c>
      <c r="N61" t="str">
        <f t="shared" si="5"/>
        <v>GP</v>
      </c>
      <c r="O61">
        <f t="shared" si="6"/>
        <v>0</v>
      </c>
      <c r="P61" t="str">
        <f t="shared" si="7"/>
        <v>MackayDeliverGP</v>
      </c>
    </row>
    <row r="62" spans="1:16" x14ac:dyDescent="0.25">
      <c r="A62" cm="1">
        <f t="array" ref="A62">IF(ISNA(_xlfn.XLOOKUP(P62,$P$2:P61,$A$2:A61)),IF(COUNTIFS($P$2:P62,P62)=1,IF(COUNTIFS($C$2:C61,C62)=0,1,_xlfn.MAXIFS($A$2:A61,$C$2:C61,C62)+1),A61),_xlfn.XLOOKUP(P62,$P$2:P61,$A$2:A61))</f>
        <v>1</v>
      </c>
      <c r="B62" t="s">
        <v>19</v>
      </c>
      <c r="C62" t="s">
        <v>51</v>
      </c>
      <c r="D62" t="s">
        <v>33</v>
      </c>
      <c r="E62" t="s">
        <v>19</v>
      </c>
      <c r="F62" t="s">
        <v>25</v>
      </c>
      <c r="G62" t="s">
        <v>19</v>
      </c>
      <c r="H62" t="s">
        <v>35</v>
      </c>
      <c r="I62" t="s">
        <v>51</v>
      </c>
      <c r="J62" t="s">
        <v>36</v>
      </c>
      <c r="K62">
        <v>2</v>
      </c>
      <c r="M62" t="str">
        <f t="shared" si="4"/>
        <v>WaggaStoreGP_STOREGP</v>
      </c>
      <c r="N62" t="str">
        <f t="shared" si="5"/>
        <v>WaggaDeliverTRUCKGP</v>
      </c>
      <c r="O62">
        <f t="shared" si="6"/>
        <v>1</v>
      </c>
      <c r="P62" t="str">
        <f t="shared" si="7"/>
        <v>WaggaStoreGP</v>
      </c>
    </row>
    <row r="63" spans="1:16" x14ac:dyDescent="0.25">
      <c r="A63" cm="1">
        <f t="array" ref="A63">IF(ISNA(_xlfn.XLOOKUP(P63,$P$2:P62,$A$2:A62)),IF(COUNTIFS($P$2:P63,P63)=1,IF(COUNTIFS($C$2:C62,C63)=0,1,_xlfn.MAXIFS($A$2:A62,$C$2:C62,C63)+1),A62),_xlfn.XLOOKUP(P63,$P$2:P62,$A$2:A62))</f>
        <v>2</v>
      </c>
      <c r="B63" t="s">
        <v>19</v>
      </c>
      <c r="C63" t="s">
        <v>51</v>
      </c>
      <c r="D63" t="s">
        <v>36</v>
      </c>
      <c r="E63" t="s">
        <v>19</v>
      </c>
      <c r="F63" t="s">
        <v>35</v>
      </c>
      <c r="G63" t="s">
        <v>19</v>
      </c>
      <c r="K63">
        <v>4</v>
      </c>
      <c r="M63" t="str">
        <f t="shared" si="4"/>
        <v>WaggaDeliverTRUCKGP</v>
      </c>
      <c r="N63" t="str">
        <f t="shared" si="5"/>
        <v>GP</v>
      </c>
      <c r="O63">
        <f t="shared" si="6"/>
        <v>0</v>
      </c>
      <c r="P63" t="str">
        <f t="shared" si="7"/>
        <v>WaggaDeliverGP</v>
      </c>
    </row>
    <row r="64" spans="1:16" x14ac:dyDescent="0.25">
      <c r="A64" cm="1">
        <f t="array" ref="A64">IF(ISNA(_xlfn.XLOOKUP(P64,$P$2:P63,$A$2:A63)),IF(COUNTIFS($P$2:P64,P64)=1,IF(COUNTIFS($C$2:C63,C64)=0,1,_xlfn.MAXIFS($A$2:A63,$C$2:C63,C64)+1),A63),_xlfn.XLOOKUP(P64,$P$2:P63,$A$2:A63))</f>
        <v>1</v>
      </c>
      <c r="B64" t="s">
        <v>19</v>
      </c>
      <c r="C64" t="s">
        <v>50</v>
      </c>
      <c r="D64" t="s">
        <v>33</v>
      </c>
      <c r="E64" t="s">
        <v>19</v>
      </c>
      <c r="F64" t="s">
        <v>25</v>
      </c>
      <c r="G64" t="s">
        <v>19</v>
      </c>
      <c r="H64" t="s">
        <v>35</v>
      </c>
      <c r="I64" t="s">
        <v>50</v>
      </c>
      <c r="J64" t="s">
        <v>36</v>
      </c>
      <c r="K64">
        <v>2</v>
      </c>
      <c r="M64" t="str">
        <f t="shared" si="4"/>
        <v>AlburyStoreGP_STOREGP</v>
      </c>
      <c r="N64" t="str">
        <f t="shared" si="5"/>
        <v>AlburyDeliverTRUCKGP</v>
      </c>
      <c r="O64">
        <f t="shared" si="6"/>
        <v>1</v>
      </c>
      <c r="P64" t="str">
        <f t="shared" si="7"/>
        <v>AlburyStoreGP</v>
      </c>
    </row>
    <row r="65" spans="1:16" x14ac:dyDescent="0.25">
      <c r="A65" cm="1">
        <f t="array" ref="A65">IF(ISNA(_xlfn.XLOOKUP(P65,$P$2:P64,$A$2:A64)),IF(COUNTIFS($P$2:P65,P65)=1,IF(COUNTIFS($C$2:C64,C65)=0,1,_xlfn.MAXIFS($A$2:A64,$C$2:C64,C65)+1),A64),_xlfn.XLOOKUP(P65,$P$2:P64,$A$2:A64))</f>
        <v>2</v>
      </c>
      <c r="B65" t="s">
        <v>19</v>
      </c>
      <c r="C65" t="s">
        <v>50</v>
      </c>
      <c r="D65" t="s">
        <v>36</v>
      </c>
      <c r="E65" t="s">
        <v>19</v>
      </c>
      <c r="F65" t="s">
        <v>35</v>
      </c>
      <c r="G65" t="s">
        <v>19</v>
      </c>
      <c r="K65">
        <v>4</v>
      </c>
      <c r="M65" t="str">
        <f t="shared" si="4"/>
        <v>AlburyDeliverTRUCKGP</v>
      </c>
      <c r="P65" t="str">
        <f t="shared" si="7"/>
        <v>AlburyDeliverGP</v>
      </c>
    </row>
    <row r="66" spans="1:16" x14ac:dyDescent="0.25">
      <c r="A66" cm="1">
        <f t="array" ref="A66">IF(ISNA(_xlfn.XLOOKUP(P66,$P$2:P65,$A$2:A65)),IF(COUNTIFS($P$2:P66,P66)=1,IF(COUNTIFS($C$2:C65,C66)=0,1,_xlfn.MAXIFS($A$2:A65,$C$2:C65,C66)+1),A65),_xlfn.XLOOKUP(P66,$P$2:P65,$A$2:A65))</f>
        <v>1</v>
      </c>
      <c r="B66" t="s">
        <v>19</v>
      </c>
      <c r="C66" t="s">
        <v>52</v>
      </c>
      <c r="D66" t="s">
        <v>33</v>
      </c>
      <c r="E66" t="s">
        <v>19</v>
      </c>
      <c r="F66" t="s">
        <v>25</v>
      </c>
      <c r="G66" t="s">
        <v>19</v>
      </c>
      <c r="H66" t="s">
        <v>35</v>
      </c>
      <c r="I66" t="s">
        <v>52</v>
      </c>
      <c r="J66" t="s">
        <v>36</v>
      </c>
      <c r="K66">
        <v>2</v>
      </c>
      <c r="M66" t="str">
        <f t="shared" si="4"/>
        <v>ClydeStoreGP_STOREGP</v>
      </c>
      <c r="P66" t="str">
        <f t="shared" si="7"/>
        <v>ClydeStoreGP</v>
      </c>
    </row>
    <row r="67" spans="1:16" x14ac:dyDescent="0.25">
      <c r="A67" cm="1">
        <f t="array" ref="A67">IF(ISNA(_xlfn.XLOOKUP(P67,$P$2:P66,$A$2:A66)),IF(COUNTIFS($P$2:P67,P67)=1,IF(COUNTIFS($C$2:C66,C67)=0,1,_xlfn.MAXIFS($A$2:A66,$C$2:C66,C67)+1),A66),_xlfn.XLOOKUP(P67,$P$2:P66,$A$2:A66))</f>
        <v>2</v>
      </c>
      <c r="B67" t="s">
        <v>19</v>
      </c>
      <c r="C67" t="s">
        <v>52</v>
      </c>
      <c r="D67" t="s">
        <v>36</v>
      </c>
      <c r="E67" t="s">
        <v>19</v>
      </c>
      <c r="F67" t="s">
        <v>35</v>
      </c>
      <c r="G67" t="s">
        <v>19</v>
      </c>
      <c r="K67">
        <v>4</v>
      </c>
      <c r="M67" t="str">
        <f t="shared" si="4"/>
        <v>ClydeDeliverTRUCKGP</v>
      </c>
      <c r="P67" t="str">
        <f t="shared" si="7"/>
        <v>ClydeDeliverGP</v>
      </c>
    </row>
    <row r="68" spans="1:16" x14ac:dyDescent="0.25">
      <c r="A68" s="1">
        <v>1</v>
      </c>
      <c r="B68" t="s">
        <v>53</v>
      </c>
      <c r="C68" t="s">
        <v>20</v>
      </c>
      <c r="D68" t="s">
        <v>95</v>
      </c>
      <c r="F68" t="s">
        <v>23</v>
      </c>
      <c r="G68" t="s">
        <v>53</v>
      </c>
      <c r="H68" t="s">
        <v>25</v>
      </c>
      <c r="I68" t="s">
        <v>20</v>
      </c>
      <c r="J68" t="s">
        <v>97</v>
      </c>
      <c r="K68">
        <v>1</v>
      </c>
      <c r="P68" t="str">
        <f t="shared" si="7"/>
        <v>GladstoneMakeFA</v>
      </c>
    </row>
    <row r="69" spans="1:16" x14ac:dyDescent="0.25">
      <c r="A69" s="1">
        <v>2</v>
      </c>
      <c r="B69" t="s">
        <v>53</v>
      </c>
      <c r="C69" t="s">
        <v>20</v>
      </c>
      <c r="D69" t="s">
        <v>97</v>
      </c>
      <c r="E69" t="s">
        <v>53</v>
      </c>
      <c r="F69" t="s">
        <v>25</v>
      </c>
      <c r="G69" t="s">
        <v>53</v>
      </c>
      <c r="H69" t="s">
        <v>28</v>
      </c>
      <c r="I69" t="s">
        <v>20</v>
      </c>
      <c r="J69" t="s">
        <v>29</v>
      </c>
      <c r="K69">
        <v>2</v>
      </c>
    </row>
    <row r="70" spans="1:16" x14ac:dyDescent="0.25">
      <c r="A70" s="1">
        <v>3</v>
      </c>
      <c r="B70" t="s">
        <v>53</v>
      </c>
      <c r="C70" t="s">
        <v>20</v>
      </c>
      <c r="D70" t="s">
        <v>29</v>
      </c>
      <c r="E70" t="s">
        <v>53</v>
      </c>
      <c r="F70" t="s">
        <v>28</v>
      </c>
      <c r="G70" t="s">
        <v>53</v>
      </c>
      <c r="H70" t="s">
        <v>25</v>
      </c>
      <c r="I70" t="s">
        <v>45</v>
      </c>
      <c r="J70" t="s">
        <v>54</v>
      </c>
      <c r="K70">
        <v>3</v>
      </c>
    </row>
    <row r="71" spans="1:16" x14ac:dyDescent="0.25">
      <c r="A71" s="1">
        <v>3</v>
      </c>
      <c r="B71" t="s">
        <v>53</v>
      </c>
      <c r="C71" t="s">
        <v>20</v>
      </c>
      <c r="D71" t="s">
        <v>29</v>
      </c>
      <c r="E71" t="s">
        <v>53</v>
      </c>
      <c r="F71" t="s">
        <v>28</v>
      </c>
      <c r="G71" t="s">
        <v>53</v>
      </c>
      <c r="H71" t="s">
        <v>25</v>
      </c>
      <c r="I71" t="s">
        <v>38</v>
      </c>
      <c r="J71" t="s">
        <v>54</v>
      </c>
      <c r="K71">
        <v>3</v>
      </c>
    </row>
    <row r="72" spans="1:16" x14ac:dyDescent="0.25">
      <c r="A72" s="1">
        <v>3</v>
      </c>
      <c r="B72" t="s">
        <v>53</v>
      </c>
      <c r="C72" t="s">
        <v>20</v>
      </c>
      <c r="D72" t="s">
        <v>29</v>
      </c>
      <c r="E72" t="s">
        <v>53</v>
      </c>
      <c r="F72" t="s">
        <v>28</v>
      </c>
      <c r="G72" t="s">
        <v>53</v>
      </c>
      <c r="H72" t="s">
        <v>25</v>
      </c>
      <c r="I72" t="s">
        <v>147</v>
      </c>
      <c r="J72" t="s">
        <v>54</v>
      </c>
      <c r="K72">
        <v>3</v>
      </c>
    </row>
    <row r="73" spans="1:16" x14ac:dyDescent="0.25">
      <c r="A73" s="1">
        <v>1</v>
      </c>
      <c r="B73" t="s">
        <v>53</v>
      </c>
      <c r="C73" t="s">
        <v>45</v>
      </c>
      <c r="D73" t="s">
        <v>54</v>
      </c>
      <c r="E73" t="s">
        <v>53</v>
      </c>
      <c r="F73" t="s">
        <v>25</v>
      </c>
      <c r="G73" t="s">
        <v>53</v>
      </c>
      <c r="H73" t="s">
        <v>35</v>
      </c>
      <c r="I73" t="s">
        <v>45</v>
      </c>
      <c r="J73" t="s">
        <v>36</v>
      </c>
      <c r="K73">
        <v>2</v>
      </c>
    </row>
    <row r="74" spans="1:16" x14ac:dyDescent="0.25">
      <c r="A74" s="1">
        <v>1</v>
      </c>
      <c r="B74" t="s">
        <v>53</v>
      </c>
      <c r="C74" t="s">
        <v>38</v>
      </c>
      <c r="D74" t="s">
        <v>54</v>
      </c>
      <c r="E74" t="s">
        <v>53</v>
      </c>
      <c r="F74" t="s">
        <v>25</v>
      </c>
      <c r="G74" t="s">
        <v>53</v>
      </c>
      <c r="H74" t="s">
        <v>35</v>
      </c>
      <c r="I74" t="s">
        <v>38</v>
      </c>
      <c r="J74" t="s">
        <v>36</v>
      </c>
      <c r="K74">
        <v>2</v>
      </c>
    </row>
    <row r="75" spans="1:16" x14ac:dyDescent="0.25">
      <c r="A75" s="1">
        <v>1</v>
      </c>
      <c r="B75" t="s">
        <v>53</v>
      </c>
      <c r="C75" t="s">
        <v>147</v>
      </c>
      <c r="D75" t="s">
        <v>54</v>
      </c>
      <c r="E75" t="s">
        <v>53</v>
      </c>
      <c r="F75" t="s">
        <v>25</v>
      </c>
      <c r="G75" t="s">
        <v>53</v>
      </c>
      <c r="H75" t="s">
        <v>35</v>
      </c>
      <c r="I75" t="s">
        <v>147</v>
      </c>
      <c r="J75" t="s">
        <v>36</v>
      </c>
      <c r="K75">
        <v>2</v>
      </c>
    </row>
    <row r="76" spans="1:16" x14ac:dyDescent="0.25">
      <c r="A76" s="1">
        <v>2</v>
      </c>
      <c r="B76" t="s">
        <v>53</v>
      </c>
      <c r="C76" t="s">
        <v>45</v>
      </c>
      <c r="D76" t="s">
        <v>36</v>
      </c>
      <c r="E76" t="s">
        <v>53</v>
      </c>
      <c r="F76" t="s">
        <v>35</v>
      </c>
      <c r="G76" t="s">
        <v>53</v>
      </c>
      <c r="K76">
        <v>4</v>
      </c>
    </row>
    <row r="77" spans="1:16" x14ac:dyDescent="0.25">
      <c r="A77" s="1">
        <v>2</v>
      </c>
      <c r="B77" t="s">
        <v>53</v>
      </c>
      <c r="C77" t="s">
        <v>38</v>
      </c>
      <c r="D77" t="s">
        <v>36</v>
      </c>
      <c r="E77" t="s">
        <v>53</v>
      </c>
      <c r="F77" t="s">
        <v>35</v>
      </c>
      <c r="G77" t="s">
        <v>53</v>
      </c>
      <c r="K77">
        <v>4</v>
      </c>
    </row>
    <row r="78" spans="1:16" x14ac:dyDescent="0.25">
      <c r="A78" s="1">
        <v>2</v>
      </c>
      <c r="B78" t="s">
        <v>53</v>
      </c>
      <c r="C78" t="s">
        <v>147</v>
      </c>
      <c r="D78" t="s">
        <v>36</v>
      </c>
      <c r="E78" t="s">
        <v>53</v>
      </c>
      <c r="F78" t="s">
        <v>35</v>
      </c>
      <c r="G78" t="s">
        <v>53</v>
      </c>
      <c r="K78">
        <v>4</v>
      </c>
    </row>
    <row r="79" spans="1:16" x14ac:dyDescent="0.25">
      <c r="A79" s="1">
        <v>1</v>
      </c>
      <c r="B79" t="s">
        <v>63</v>
      </c>
      <c r="C79" t="s">
        <v>149</v>
      </c>
      <c r="D79" t="s">
        <v>64</v>
      </c>
      <c r="E79" t="s">
        <v>65</v>
      </c>
      <c r="F79" t="s">
        <v>25</v>
      </c>
      <c r="G79" t="s">
        <v>65</v>
      </c>
      <c r="H79" t="s">
        <v>28</v>
      </c>
      <c r="I79" t="s">
        <v>149</v>
      </c>
      <c r="J79" t="s">
        <v>29</v>
      </c>
      <c r="K79">
        <v>2</v>
      </c>
    </row>
    <row r="80" spans="1:16" x14ac:dyDescent="0.25">
      <c r="A80" s="1">
        <v>2</v>
      </c>
      <c r="B80" t="s">
        <v>63</v>
      </c>
      <c r="C80" t="s">
        <v>149</v>
      </c>
      <c r="D80" t="s">
        <v>29</v>
      </c>
      <c r="E80" t="s">
        <v>65</v>
      </c>
      <c r="F80" t="s">
        <v>28</v>
      </c>
      <c r="G80" t="s">
        <v>65</v>
      </c>
      <c r="H80" t="s">
        <v>25</v>
      </c>
      <c r="I80" t="s">
        <v>38</v>
      </c>
      <c r="J80" t="s">
        <v>64</v>
      </c>
      <c r="K80">
        <v>3</v>
      </c>
    </row>
    <row r="81" spans="1:11" x14ac:dyDescent="0.25">
      <c r="A81" s="1">
        <v>2</v>
      </c>
      <c r="B81" t="s">
        <v>63</v>
      </c>
      <c r="C81" t="s">
        <v>149</v>
      </c>
      <c r="D81" t="s">
        <v>29</v>
      </c>
      <c r="E81" t="s">
        <v>65</v>
      </c>
      <c r="F81" t="s">
        <v>28</v>
      </c>
      <c r="G81" t="s">
        <v>65</v>
      </c>
      <c r="H81" t="s">
        <v>25</v>
      </c>
      <c r="I81" t="s">
        <v>30</v>
      </c>
      <c r="J81" t="s">
        <v>64</v>
      </c>
      <c r="K81">
        <v>3</v>
      </c>
    </row>
    <row r="82" spans="1:11" x14ac:dyDescent="0.25">
      <c r="A82" s="1">
        <v>1</v>
      </c>
      <c r="B82" t="s">
        <v>63</v>
      </c>
      <c r="C82" t="s">
        <v>38</v>
      </c>
      <c r="D82" t="s">
        <v>64</v>
      </c>
      <c r="E82" t="s">
        <v>65</v>
      </c>
      <c r="F82" t="s">
        <v>25</v>
      </c>
      <c r="G82" t="s">
        <v>65</v>
      </c>
      <c r="H82" t="s">
        <v>23</v>
      </c>
      <c r="I82" t="s">
        <v>38</v>
      </c>
      <c r="J82" t="s">
        <v>49</v>
      </c>
      <c r="K82">
        <v>2</v>
      </c>
    </row>
    <row r="83" spans="1:11" x14ac:dyDescent="0.25">
      <c r="A83" s="1">
        <v>2</v>
      </c>
      <c r="B83" t="s">
        <v>63</v>
      </c>
      <c r="C83" t="s">
        <v>38</v>
      </c>
      <c r="D83" t="s">
        <v>49</v>
      </c>
      <c r="E83" t="s">
        <v>65</v>
      </c>
      <c r="F83" t="s">
        <v>23</v>
      </c>
      <c r="G83" t="s">
        <v>63</v>
      </c>
      <c r="H83" t="s">
        <v>25</v>
      </c>
      <c r="I83" t="s">
        <v>38</v>
      </c>
      <c r="J83" t="s">
        <v>66</v>
      </c>
      <c r="K83">
        <v>1</v>
      </c>
    </row>
    <row r="84" spans="1:11" x14ac:dyDescent="0.25">
      <c r="A84" s="1">
        <v>3</v>
      </c>
      <c r="B84" t="s">
        <v>63</v>
      </c>
      <c r="C84" t="s">
        <v>38</v>
      </c>
      <c r="D84" t="s">
        <v>66</v>
      </c>
      <c r="E84" t="s">
        <v>63</v>
      </c>
      <c r="F84" t="s">
        <v>25</v>
      </c>
      <c r="G84" t="s">
        <v>63</v>
      </c>
      <c r="H84" t="s">
        <v>35</v>
      </c>
      <c r="I84" t="s">
        <v>38</v>
      </c>
      <c r="J84" t="s">
        <v>36</v>
      </c>
      <c r="K84">
        <v>2</v>
      </c>
    </row>
    <row r="85" spans="1:11" x14ac:dyDescent="0.25">
      <c r="A85" s="1">
        <v>4</v>
      </c>
      <c r="B85" t="s">
        <v>63</v>
      </c>
      <c r="C85" t="s">
        <v>38</v>
      </c>
      <c r="D85" t="s">
        <v>36</v>
      </c>
      <c r="E85" t="s">
        <v>63</v>
      </c>
      <c r="F85" t="s">
        <v>35</v>
      </c>
      <c r="G85" t="s">
        <v>63</v>
      </c>
      <c r="K85">
        <v>4</v>
      </c>
    </row>
    <row r="86" spans="1:11" x14ac:dyDescent="0.25">
      <c r="A86" s="1">
        <v>3</v>
      </c>
      <c r="B86" t="s">
        <v>63</v>
      </c>
      <c r="C86" t="s">
        <v>38</v>
      </c>
      <c r="D86" t="s">
        <v>66</v>
      </c>
      <c r="E86" t="s">
        <v>63</v>
      </c>
      <c r="F86" t="s">
        <v>25</v>
      </c>
      <c r="G86" t="s">
        <v>63</v>
      </c>
      <c r="H86" t="s">
        <v>28</v>
      </c>
      <c r="I86" t="s">
        <v>38</v>
      </c>
      <c r="J86" t="s">
        <v>29</v>
      </c>
      <c r="K86">
        <v>2</v>
      </c>
    </row>
    <row r="87" spans="1:11" x14ac:dyDescent="0.25">
      <c r="A87" s="1">
        <v>3</v>
      </c>
      <c r="B87" t="s">
        <v>63</v>
      </c>
      <c r="C87" t="s">
        <v>38</v>
      </c>
      <c r="D87" t="s">
        <v>66</v>
      </c>
      <c r="E87" t="s">
        <v>63</v>
      </c>
      <c r="F87" t="s">
        <v>25</v>
      </c>
      <c r="G87" t="s">
        <v>63</v>
      </c>
      <c r="H87" t="s">
        <v>28</v>
      </c>
      <c r="I87" t="s">
        <v>38</v>
      </c>
      <c r="J87" t="s">
        <v>34</v>
      </c>
      <c r="K87">
        <v>2</v>
      </c>
    </row>
    <row r="88" spans="1:11" x14ac:dyDescent="0.25">
      <c r="A88" s="1">
        <v>4</v>
      </c>
      <c r="B88" t="s">
        <v>63</v>
      </c>
      <c r="C88" t="s">
        <v>38</v>
      </c>
      <c r="D88" t="s">
        <v>29</v>
      </c>
      <c r="E88" t="s">
        <v>63</v>
      </c>
      <c r="F88" t="s">
        <v>28</v>
      </c>
      <c r="G88" t="s">
        <v>63</v>
      </c>
      <c r="H88" t="s">
        <v>25</v>
      </c>
      <c r="I88" t="s">
        <v>45</v>
      </c>
      <c r="J88" t="s">
        <v>66</v>
      </c>
      <c r="K88">
        <v>3</v>
      </c>
    </row>
    <row r="89" spans="1:11" x14ac:dyDescent="0.25">
      <c r="A89" s="1">
        <v>4</v>
      </c>
      <c r="B89" t="s">
        <v>63</v>
      </c>
      <c r="C89" t="s">
        <v>38</v>
      </c>
      <c r="D89" t="s">
        <v>34</v>
      </c>
      <c r="E89" t="s">
        <v>63</v>
      </c>
      <c r="F89" t="s">
        <v>28</v>
      </c>
      <c r="G89" t="s">
        <v>63</v>
      </c>
      <c r="H89" t="s">
        <v>25</v>
      </c>
      <c r="I89" t="s">
        <v>52</v>
      </c>
      <c r="J89" t="s">
        <v>66</v>
      </c>
      <c r="K89">
        <v>3</v>
      </c>
    </row>
    <row r="90" spans="1:11" x14ac:dyDescent="0.25">
      <c r="A90" s="1">
        <v>4</v>
      </c>
      <c r="B90" t="s">
        <v>63</v>
      </c>
      <c r="C90" t="s">
        <v>38</v>
      </c>
      <c r="D90" t="s">
        <v>34</v>
      </c>
      <c r="E90" t="s">
        <v>63</v>
      </c>
      <c r="F90" t="s">
        <v>28</v>
      </c>
      <c r="G90" t="s">
        <v>63</v>
      </c>
      <c r="H90" t="s">
        <v>25</v>
      </c>
      <c r="I90" t="s">
        <v>68</v>
      </c>
      <c r="J90" t="s">
        <v>66</v>
      </c>
      <c r="K90">
        <v>3</v>
      </c>
    </row>
    <row r="91" spans="1:11" x14ac:dyDescent="0.25">
      <c r="A91" s="1">
        <v>4</v>
      </c>
      <c r="B91" t="s">
        <v>63</v>
      </c>
      <c r="C91" t="s">
        <v>38</v>
      </c>
      <c r="D91" t="s">
        <v>34</v>
      </c>
      <c r="E91" t="s">
        <v>63</v>
      </c>
      <c r="F91" t="s">
        <v>28</v>
      </c>
      <c r="G91" t="s">
        <v>63</v>
      </c>
      <c r="H91" t="s">
        <v>25</v>
      </c>
      <c r="I91" t="s">
        <v>39</v>
      </c>
      <c r="J91" t="s">
        <v>66</v>
      </c>
      <c r="K91">
        <v>3</v>
      </c>
    </row>
    <row r="92" spans="1:11" x14ac:dyDescent="0.25">
      <c r="A92" s="1">
        <v>1</v>
      </c>
      <c r="B92" t="s">
        <v>63</v>
      </c>
      <c r="C92" t="s">
        <v>30</v>
      </c>
      <c r="D92" t="s">
        <v>64</v>
      </c>
      <c r="E92" t="s">
        <v>65</v>
      </c>
      <c r="F92" t="s">
        <v>25</v>
      </c>
      <c r="G92" t="s">
        <v>65</v>
      </c>
      <c r="H92" t="s">
        <v>23</v>
      </c>
      <c r="I92" t="s">
        <v>30</v>
      </c>
      <c r="J92" t="s">
        <v>47</v>
      </c>
      <c r="K92">
        <v>2</v>
      </c>
    </row>
    <row r="93" spans="1:11" x14ac:dyDescent="0.25">
      <c r="A93" s="1">
        <v>1</v>
      </c>
      <c r="B93" t="s">
        <v>63</v>
      </c>
      <c r="C93" t="s">
        <v>30</v>
      </c>
      <c r="D93" t="s">
        <v>64</v>
      </c>
      <c r="E93" t="s">
        <v>65</v>
      </c>
      <c r="F93" t="s">
        <v>25</v>
      </c>
      <c r="G93" t="s">
        <v>65</v>
      </c>
      <c r="H93" t="s">
        <v>23</v>
      </c>
      <c r="I93" t="s">
        <v>30</v>
      </c>
      <c r="J93" t="s">
        <v>48</v>
      </c>
      <c r="K93">
        <v>2</v>
      </c>
    </row>
    <row r="94" spans="1:11" x14ac:dyDescent="0.25">
      <c r="A94" s="1">
        <v>2</v>
      </c>
      <c r="B94" t="s">
        <v>63</v>
      </c>
      <c r="C94" t="s">
        <v>30</v>
      </c>
      <c r="D94" t="s">
        <v>47</v>
      </c>
      <c r="E94" t="s">
        <v>65</v>
      </c>
      <c r="F94" t="s">
        <v>23</v>
      </c>
      <c r="G94" t="s">
        <v>63</v>
      </c>
      <c r="H94" t="s">
        <v>25</v>
      </c>
      <c r="I94" t="s">
        <v>30</v>
      </c>
      <c r="J94" t="s">
        <v>66</v>
      </c>
      <c r="K94">
        <v>1</v>
      </c>
    </row>
    <row r="95" spans="1:11" x14ac:dyDescent="0.25">
      <c r="A95" s="1">
        <v>2</v>
      </c>
      <c r="B95" t="s">
        <v>63</v>
      </c>
      <c r="C95" t="s">
        <v>30</v>
      </c>
      <c r="D95" t="s">
        <v>48</v>
      </c>
      <c r="E95" t="s">
        <v>65</v>
      </c>
      <c r="F95" t="s">
        <v>23</v>
      </c>
      <c r="G95" t="s">
        <v>63</v>
      </c>
      <c r="H95" t="s">
        <v>25</v>
      </c>
      <c r="I95" t="s">
        <v>30</v>
      </c>
      <c r="J95" t="s">
        <v>66</v>
      </c>
      <c r="K95">
        <v>1</v>
      </c>
    </row>
    <row r="96" spans="1:11" x14ac:dyDescent="0.25">
      <c r="A96" s="1">
        <v>3</v>
      </c>
      <c r="B96" t="s">
        <v>63</v>
      </c>
      <c r="C96" t="s">
        <v>30</v>
      </c>
      <c r="D96" t="s">
        <v>66</v>
      </c>
      <c r="E96" t="s">
        <v>63</v>
      </c>
      <c r="F96" t="s">
        <v>25</v>
      </c>
      <c r="G96" t="s">
        <v>63</v>
      </c>
      <c r="H96" t="s">
        <v>28</v>
      </c>
      <c r="I96" t="s">
        <v>30</v>
      </c>
      <c r="J96" t="s">
        <v>34</v>
      </c>
      <c r="K96">
        <v>2</v>
      </c>
    </row>
    <row r="97" spans="1:11" x14ac:dyDescent="0.25">
      <c r="A97" s="1">
        <v>3</v>
      </c>
      <c r="B97" t="s">
        <v>63</v>
      </c>
      <c r="C97" t="s">
        <v>30</v>
      </c>
      <c r="D97" t="s">
        <v>66</v>
      </c>
      <c r="E97" t="s">
        <v>63</v>
      </c>
      <c r="F97" t="s">
        <v>25</v>
      </c>
      <c r="G97" t="s">
        <v>63</v>
      </c>
      <c r="H97" t="s">
        <v>35</v>
      </c>
      <c r="I97" t="s">
        <v>30</v>
      </c>
      <c r="J97" t="s">
        <v>36</v>
      </c>
      <c r="K97">
        <v>2</v>
      </c>
    </row>
    <row r="98" spans="1:11" x14ac:dyDescent="0.25">
      <c r="A98" s="1">
        <v>4</v>
      </c>
      <c r="B98" t="s">
        <v>63</v>
      </c>
      <c r="C98" t="s">
        <v>30</v>
      </c>
      <c r="D98" t="s">
        <v>34</v>
      </c>
      <c r="E98" t="s">
        <v>63</v>
      </c>
      <c r="F98" t="s">
        <v>28</v>
      </c>
      <c r="G98" t="s">
        <v>63</v>
      </c>
      <c r="H98" t="s">
        <v>25</v>
      </c>
      <c r="I98" t="s">
        <v>67</v>
      </c>
      <c r="J98" t="s">
        <v>66</v>
      </c>
      <c r="K98">
        <v>3</v>
      </c>
    </row>
    <row r="99" spans="1:11" x14ac:dyDescent="0.25">
      <c r="A99" s="1">
        <v>4</v>
      </c>
      <c r="B99" t="s">
        <v>63</v>
      </c>
      <c r="C99" t="s">
        <v>30</v>
      </c>
      <c r="D99" t="s">
        <v>36</v>
      </c>
      <c r="E99" t="s">
        <v>63</v>
      </c>
      <c r="F99" t="s">
        <v>35</v>
      </c>
      <c r="G99" t="s">
        <v>63</v>
      </c>
      <c r="K99">
        <v>4</v>
      </c>
    </row>
    <row r="100" spans="1:11" x14ac:dyDescent="0.25">
      <c r="A100" s="1">
        <v>1</v>
      </c>
      <c r="B100" t="s">
        <v>63</v>
      </c>
      <c r="C100" t="s">
        <v>67</v>
      </c>
      <c r="D100" t="s">
        <v>66</v>
      </c>
      <c r="E100" t="s">
        <v>63</v>
      </c>
      <c r="F100" t="s">
        <v>25</v>
      </c>
      <c r="G100" t="s">
        <v>63</v>
      </c>
      <c r="H100" t="s">
        <v>35</v>
      </c>
      <c r="I100" t="s">
        <v>67</v>
      </c>
      <c r="J100" t="s">
        <v>36</v>
      </c>
      <c r="K100">
        <v>2</v>
      </c>
    </row>
    <row r="101" spans="1:11" x14ac:dyDescent="0.25">
      <c r="A101" s="1">
        <v>2</v>
      </c>
      <c r="B101" t="s">
        <v>63</v>
      </c>
      <c r="C101" t="s">
        <v>67</v>
      </c>
      <c r="D101" t="s">
        <v>36</v>
      </c>
      <c r="E101" t="s">
        <v>63</v>
      </c>
      <c r="F101" t="s">
        <v>35</v>
      </c>
      <c r="G101" t="s">
        <v>63</v>
      </c>
      <c r="K101">
        <v>4</v>
      </c>
    </row>
    <row r="102" spans="1:11" x14ac:dyDescent="0.25">
      <c r="A102" s="1">
        <v>1</v>
      </c>
      <c r="B102" t="s">
        <v>63</v>
      </c>
      <c r="C102" t="s">
        <v>45</v>
      </c>
      <c r="D102" t="s">
        <v>66</v>
      </c>
      <c r="E102" t="s">
        <v>63</v>
      </c>
      <c r="F102" t="s">
        <v>25</v>
      </c>
      <c r="G102" t="s">
        <v>63</v>
      </c>
      <c r="H102" t="s">
        <v>35</v>
      </c>
      <c r="I102" t="s">
        <v>45</v>
      </c>
      <c r="J102" t="s">
        <v>36</v>
      </c>
      <c r="K102">
        <v>3</v>
      </c>
    </row>
    <row r="103" spans="1:11" x14ac:dyDescent="0.25">
      <c r="A103" s="1">
        <v>2</v>
      </c>
      <c r="B103" t="s">
        <v>63</v>
      </c>
      <c r="C103" t="s">
        <v>45</v>
      </c>
      <c r="D103" t="s">
        <v>36</v>
      </c>
      <c r="E103" t="s">
        <v>63</v>
      </c>
      <c r="F103" t="s">
        <v>35</v>
      </c>
      <c r="G103" t="s">
        <v>63</v>
      </c>
      <c r="K103">
        <v>4</v>
      </c>
    </row>
    <row r="104" spans="1:11" x14ac:dyDescent="0.25">
      <c r="A104" s="1">
        <v>1</v>
      </c>
      <c r="B104" t="s">
        <v>63</v>
      </c>
      <c r="C104" t="s">
        <v>52</v>
      </c>
      <c r="D104" t="s">
        <v>66</v>
      </c>
      <c r="E104" t="s">
        <v>63</v>
      </c>
      <c r="F104" t="s">
        <v>25</v>
      </c>
      <c r="G104" t="s">
        <v>63</v>
      </c>
      <c r="H104" t="s">
        <v>35</v>
      </c>
      <c r="I104" t="s">
        <v>52</v>
      </c>
      <c r="J104" t="s">
        <v>36</v>
      </c>
      <c r="K104">
        <v>3</v>
      </c>
    </row>
    <row r="105" spans="1:11" x14ac:dyDescent="0.25">
      <c r="A105" s="1">
        <v>2</v>
      </c>
      <c r="B105" t="s">
        <v>63</v>
      </c>
      <c r="C105" t="s">
        <v>52</v>
      </c>
      <c r="D105" t="s">
        <v>36</v>
      </c>
      <c r="E105" t="s">
        <v>63</v>
      </c>
      <c r="F105" t="s">
        <v>35</v>
      </c>
      <c r="G105" t="s">
        <v>63</v>
      </c>
      <c r="K105">
        <v>4</v>
      </c>
    </row>
    <row r="106" spans="1:11" x14ac:dyDescent="0.25">
      <c r="A106" s="1">
        <v>1</v>
      </c>
      <c r="B106" t="s">
        <v>63</v>
      </c>
      <c r="C106" t="s">
        <v>68</v>
      </c>
      <c r="D106" t="s">
        <v>66</v>
      </c>
      <c r="E106" t="s">
        <v>63</v>
      </c>
      <c r="F106" t="s">
        <v>25</v>
      </c>
      <c r="G106" t="s">
        <v>63</v>
      </c>
      <c r="H106" t="s">
        <v>35</v>
      </c>
      <c r="I106" t="s">
        <v>68</v>
      </c>
      <c r="J106" t="s">
        <v>36</v>
      </c>
      <c r="K106">
        <v>3</v>
      </c>
    </row>
    <row r="107" spans="1:11" x14ac:dyDescent="0.25">
      <c r="A107" s="1">
        <v>2</v>
      </c>
      <c r="B107" t="s">
        <v>63</v>
      </c>
      <c r="C107" t="s">
        <v>68</v>
      </c>
      <c r="D107" t="s">
        <v>36</v>
      </c>
      <c r="E107" t="s">
        <v>63</v>
      </c>
      <c r="F107" t="s">
        <v>35</v>
      </c>
      <c r="G107" t="s">
        <v>63</v>
      </c>
      <c r="K107">
        <v>4</v>
      </c>
    </row>
    <row r="108" spans="1:11" x14ac:dyDescent="0.25">
      <c r="A108" s="1">
        <v>1</v>
      </c>
      <c r="B108" t="s">
        <v>63</v>
      </c>
      <c r="C108" t="s">
        <v>39</v>
      </c>
      <c r="D108" t="s">
        <v>66</v>
      </c>
      <c r="E108" t="s">
        <v>63</v>
      </c>
      <c r="F108" t="s">
        <v>25</v>
      </c>
      <c r="G108" t="s">
        <v>63</v>
      </c>
      <c r="H108" t="s">
        <v>35</v>
      </c>
      <c r="I108" t="s">
        <v>39</v>
      </c>
      <c r="J108" t="s">
        <v>36</v>
      </c>
      <c r="K108">
        <v>3</v>
      </c>
    </row>
    <row r="109" spans="1:11" x14ac:dyDescent="0.25">
      <c r="A109" s="1">
        <v>2</v>
      </c>
      <c r="B109" t="s">
        <v>63</v>
      </c>
      <c r="C109" t="s">
        <v>39</v>
      </c>
      <c r="D109" t="s">
        <v>36</v>
      </c>
      <c r="E109" t="s">
        <v>63</v>
      </c>
      <c r="F109" t="s">
        <v>35</v>
      </c>
      <c r="G109" t="s">
        <v>63</v>
      </c>
      <c r="K109">
        <v>4</v>
      </c>
    </row>
  </sheetData>
  <autoFilter ref="B1:K109" xr:uid="{00000000-0009-0000-0000-000001000000}"/>
  <conditionalFormatting sqref="M1:N1048576">
    <cfRule type="duplicateValues" dxfId="0" priority="1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4"/>
  <sheetViews>
    <sheetView tabSelected="1" workbookViewId="0">
      <selection activeCell="H12" sqref="H12"/>
    </sheetView>
  </sheetViews>
  <sheetFormatPr defaultRowHeight="15" x14ac:dyDescent="0.25"/>
  <cols>
    <col min="1" max="1" width="13.140625" bestFit="1" customWidth="1"/>
    <col min="2" max="2" width="16.7109375" bestFit="1" customWidth="1"/>
    <col min="3" max="3" width="5.7109375" bestFit="1" customWidth="1"/>
    <col min="4" max="4" width="7.28515625" bestFit="1" customWidth="1"/>
    <col min="5" max="6" width="15.5703125" bestFit="1" customWidth="1"/>
    <col min="7" max="7" width="20.7109375" customWidth="1"/>
    <col min="8" max="8" width="12" bestFit="1" customWidth="1"/>
    <col min="9" max="9" width="15.42578125" bestFit="1" customWidth="1"/>
  </cols>
  <sheetData>
    <row r="1" spans="1:9" ht="45" x14ac:dyDescent="0.25">
      <c r="A1" s="2" t="s">
        <v>8</v>
      </c>
      <c r="B1" s="2" t="s">
        <v>9</v>
      </c>
      <c r="C1" s="2" t="s">
        <v>10</v>
      </c>
      <c r="D1" s="2" t="s">
        <v>12</v>
      </c>
      <c r="E1" s="6" t="s">
        <v>55</v>
      </c>
      <c r="F1" s="6" t="s">
        <v>56</v>
      </c>
      <c r="G1" s="6" t="s">
        <v>57</v>
      </c>
      <c r="H1" s="6" t="s">
        <v>58</v>
      </c>
      <c r="I1" s="6" t="s">
        <v>59</v>
      </c>
    </row>
    <row r="2" spans="1:9" x14ac:dyDescent="0.25">
      <c r="A2" t="s">
        <v>30</v>
      </c>
      <c r="B2" t="s">
        <v>47</v>
      </c>
      <c r="C2" t="s">
        <v>24</v>
      </c>
      <c r="D2" t="s">
        <v>19</v>
      </c>
      <c r="E2">
        <v>50</v>
      </c>
      <c r="F2">
        <v>10</v>
      </c>
      <c r="G2" s="19" t="s">
        <v>169</v>
      </c>
      <c r="H2" s="10">
        <v>3.3000000000000002E-2</v>
      </c>
      <c r="I2" s="10">
        <v>0.88</v>
      </c>
    </row>
    <row r="3" spans="1:9" x14ac:dyDescent="0.25">
      <c r="A3" t="s">
        <v>30</v>
      </c>
      <c r="B3" t="s">
        <v>47</v>
      </c>
      <c r="C3" t="s">
        <v>65</v>
      </c>
      <c r="D3" t="s">
        <v>63</v>
      </c>
      <c r="E3">
        <v>30</v>
      </c>
      <c r="F3">
        <v>10</v>
      </c>
      <c r="G3" s="19" t="s">
        <v>169</v>
      </c>
      <c r="H3" s="10">
        <v>3.3000000000000002E-2</v>
      </c>
      <c r="I3" s="10">
        <v>1</v>
      </c>
    </row>
    <row r="4" spans="1:9" x14ac:dyDescent="0.25">
      <c r="A4" t="s">
        <v>30</v>
      </c>
      <c r="B4" t="s">
        <v>48</v>
      </c>
      <c r="C4" t="s">
        <v>24</v>
      </c>
      <c r="D4" t="s">
        <v>19</v>
      </c>
      <c r="E4">
        <v>88</v>
      </c>
      <c r="F4">
        <v>10</v>
      </c>
      <c r="G4" s="19" t="s">
        <v>170</v>
      </c>
      <c r="H4" s="10">
        <v>3.7999999999999999E-2</v>
      </c>
      <c r="I4" s="10">
        <v>0.88</v>
      </c>
    </row>
    <row r="5" spans="1:9" x14ac:dyDescent="0.25">
      <c r="A5" t="s">
        <v>30</v>
      </c>
      <c r="B5" t="s">
        <v>48</v>
      </c>
      <c r="C5" t="s">
        <v>65</v>
      </c>
      <c r="D5" t="s">
        <v>63</v>
      </c>
      <c r="E5">
        <v>60</v>
      </c>
      <c r="F5">
        <v>10</v>
      </c>
      <c r="G5" s="19" t="s">
        <v>170</v>
      </c>
      <c r="H5" s="10">
        <v>3.7999999999999999E-2</v>
      </c>
      <c r="I5" s="10">
        <v>1</v>
      </c>
    </row>
    <row r="6" spans="1:9" x14ac:dyDescent="0.25">
      <c r="A6" t="s">
        <v>20</v>
      </c>
      <c r="B6" t="s">
        <v>31</v>
      </c>
      <c r="C6" t="s">
        <v>24</v>
      </c>
      <c r="D6" t="s">
        <v>19</v>
      </c>
      <c r="E6">
        <v>103</v>
      </c>
      <c r="F6">
        <v>10</v>
      </c>
      <c r="G6" s="19"/>
      <c r="H6" s="10">
        <v>0.15</v>
      </c>
      <c r="I6" s="10">
        <v>0.88</v>
      </c>
    </row>
    <row r="7" spans="1:9" x14ac:dyDescent="0.25">
      <c r="A7" t="s">
        <v>20</v>
      </c>
      <c r="B7" t="s">
        <v>32</v>
      </c>
      <c r="C7" t="s">
        <v>24</v>
      </c>
      <c r="D7" t="s">
        <v>19</v>
      </c>
      <c r="E7">
        <v>118</v>
      </c>
      <c r="F7">
        <v>10</v>
      </c>
      <c r="G7" s="19"/>
      <c r="H7" s="10">
        <v>0.15</v>
      </c>
      <c r="I7" s="10">
        <v>0.88</v>
      </c>
    </row>
    <row r="8" spans="1:9" x14ac:dyDescent="0.25">
      <c r="A8" t="s">
        <v>20</v>
      </c>
      <c r="B8" t="s">
        <v>95</v>
      </c>
      <c r="D8" t="s">
        <v>53</v>
      </c>
      <c r="E8">
        <v>120</v>
      </c>
      <c r="F8">
        <v>10</v>
      </c>
      <c r="G8" s="19"/>
      <c r="H8" s="10">
        <v>0.15</v>
      </c>
      <c r="I8" s="10">
        <v>1</v>
      </c>
    </row>
    <row r="9" spans="1:9" x14ac:dyDescent="0.25">
      <c r="A9" t="s">
        <v>20</v>
      </c>
      <c r="B9" t="s">
        <v>21</v>
      </c>
      <c r="D9" t="s">
        <v>24</v>
      </c>
      <c r="E9">
        <v>226</v>
      </c>
      <c r="F9">
        <v>10</v>
      </c>
      <c r="G9" s="19" t="s">
        <v>168</v>
      </c>
      <c r="H9" s="10">
        <v>7.4499999999999997E-2</v>
      </c>
      <c r="I9" s="10">
        <v>1</v>
      </c>
    </row>
    <row r="10" spans="1:9" x14ac:dyDescent="0.25">
      <c r="A10" t="s">
        <v>38</v>
      </c>
      <c r="B10" t="s">
        <v>49</v>
      </c>
      <c r="C10" t="s">
        <v>24</v>
      </c>
      <c r="D10" t="s">
        <v>19</v>
      </c>
      <c r="E10">
        <v>205</v>
      </c>
      <c r="F10">
        <v>10</v>
      </c>
      <c r="G10" s="19" t="s">
        <v>171</v>
      </c>
      <c r="H10" s="10">
        <v>0.05</v>
      </c>
      <c r="I10" s="10">
        <v>0.88</v>
      </c>
    </row>
    <row r="11" spans="1:9" x14ac:dyDescent="0.25">
      <c r="A11" t="s">
        <v>38</v>
      </c>
      <c r="B11" t="s">
        <v>49</v>
      </c>
      <c r="C11" t="s">
        <v>65</v>
      </c>
      <c r="D11" t="s">
        <v>63</v>
      </c>
      <c r="E11">
        <v>180</v>
      </c>
      <c r="F11">
        <v>10</v>
      </c>
      <c r="G11" s="19" t="s">
        <v>171</v>
      </c>
      <c r="H11" s="10">
        <v>0.05</v>
      </c>
      <c r="I11" s="10">
        <v>1</v>
      </c>
    </row>
    <row r="12" spans="1:9" x14ac:dyDescent="0.25">
      <c r="A12" t="s">
        <v>41</v>
      </c>
      <c r="B12" t="s">
        <v>43</v>
      </c>
      <c r="C12" t="s">
        <v>24</v>
      </c>
      <c r="D12" t="s">
        <v>19</v>
      </c>
      <c r="E12">
        <v>64</v>
      </c>
      <c r="F12">
        <v>10</v>
      </c>
      <c r="G12" s="19"/>
      <c r="H12" s="10">
        <v>0.15</v>
      </c>
      <c r="I12" s="10">
        <v>0.88</v>
      </c>
    </row>
    <row r="13" spans="1:9" x14ac:dyDescent="0.25">
      <c r="A13" t="s">
        <v>41</v>
      </c>
      <c r="B13" t="s">
        <v>44</v>
      </c>
      <c r="C13" t="s">
        <v>24</v>
      </c>
      <c r="D13" t="s">
        <v>19</v>
      </c>
      <c r="E13">
        <v>112</v>
      </c>
      <c r="F13">
        <v>10</v>
      </c>
      <c r="G13" s="19"/>
      <c r="H13" s="10">
        <v>0.15</v>
      </c>
      <c r="I13" s="10">
        <v>0.88</v>
      </c>
    </row>
    <row r="14" spans="1:9" x14ac:dyDescent="0.25">
      <c r="A14" t="s">
        <v>41</v>
      </c>
      <c r="B14" t="s">
        <v>42</v>
      </c>
      <c r="D14" t="s">
        <v>24</v>
      </c>
      <c r="E14">
        <v>150</v>
      </c>
      <c r="F14">
        <v>10</v>
      </c>
      <c r="G14" s="19" t="s">
        <v>172</v>
      </c>
      <c r="H14" s="10">
        <v>2.98E-2</v>
      </c>
      <c r="I14" s="10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35"/>
  <sheetViews>
    <sheetView workbookViewId="0">
      <selection activeCell="A24" sqref="A24"/>
    </sheetView>
  </sheetViews>
  <sheetFormatPr defaultRowHeight="15" x14ac:dyDescent="0.25"/>
  <cols>
    <col min="1" max="1" width="13.140625" bestFit="1" customWidth="1"/>
    <col min="2" max="2" width="16.85546875" customWidth="1"/>
    <col min="3" max="3" width="5.7109375" bestFit="1" customWidth="1"/>
    <col min="4" max="8" width="15.7109375" customWidth="1"/>
    <col min="9" max="9" width="10.5703125" bestFit="1" customWidth="1"/>
    <col min="10" max="10" width="4" bestFit="1" customWidth="1"/>
  </cols>
  <sheetData>
    <row r="1" spans="1:15" ht="30" x14ac:dyDescent="0.25">
      <c r="A1" s="2" t="s">
        <v>8</v>
      </c>
      <c r="B1" s="6" t="s">
        <v>9</v>
      </c>
      <c r="C1" s="6" t="s">
        <v>10</v>
      </c>
      <c r="D1" s="6" t="s">
        <v>60</v>
      </c>
      <c r="E1" s="6" t="s">
        <v>61</v>
      </c>
      <c r="F1" s="6" t="s">
        <v>62</v>
      </c>
      <c r="G1" s="13" t="s">
        <v>98</v>
      </c>
      <c r="H1" s="13" t="s">
        <v>99</v>
      </c>
      <c r="I1" s="3"/>
      <c r="K1" s="7" t="s">
        <v>89</v>
      </c>
      <c r="M1" s="15" t="s">
        <v>160</v>
      </c>
      <c r="N1" s="14"/>
      <c r="O1" s="14"/>
    </row>
    <row r="2" spans="1:15" x14ac:dyDescent="0.25">
      <c r="A2" t="s">
        <v>50</v>
      </c>
      <c r="B2" t="s">
        <v>33</v>
      </c>
      <c r="C2" t="s">
        <v>19</v>
      </c>
      <c r="D2" s="3">
        <v>3000</v>
      </c>
      <c r="E2" s="3">
        <v>2500</v>
      </c>
      <c r="F2" s="3">
        <v>500</v>
      </c>
      <c r="G2" s="3">
        <v>0</v>
      </c>
      <c r="H2" s="3">
        <v>0</v>
      </c>
      <c r="I2" s="3"/>
      <c r="J2" t="s">
        <v>74</v>
      </c>
      <c r="K2" t="s">
        <v>75</v>
      </c>
    </row>
    <row r="3" spans="1:15" x14ac:dyDescent="0.25">
      <c r="A3" t="s">
        <v>30</v>
      </c>
      <c r="B3" t="s">
        <v>26</v>
      </c>
      <c r="C3" t="s">
        <v>24</v>
      </c>
      <c r="D3" s="3">
        <v>50000</v>
      </c>
      <c r="E3" s="3">
        <v>50000</v>
      </c>
      <c r="F3" s="3">
        <v>25000</v>
      </c>
      <c r="G3" s="3">
        <v>0</v>
      </c>
      <c r="H3" s="3">
        <v>400</v>
      </c>
      <c r="I3" s="3"/>
      <c r="J3" t="s">
        <v>27</v>
      </c>
      <c r="K3" t="s">
        <v>76</v>
      </c>
    </row>
    <row r="4" spans="1:15" x14ac:dyDescent="0.25">
      <c r="A4" t="s">
        <v>30</v>
      </c>
      <c r="B4" t="s">
        <v>46</v>
      </c>
      <c r="C4" t="s">
        <v>24</v>
      </c>
      <c r="D4" s="3">
        <v>30000</v>
      </c>
      <c r="E4" s="3">
        <v>30000</v>
      </c>
      <c r="F4" s="3">
        <v>10000</v>
      </c>
      <c r="G4" s="3">
        <v>0</v>
      </c>
      <c r="H4" s="3">
        <v>400</v>
      </c>
      <c r="I4" s="3"/>
      <c r="J4" t="s">
        <v>27</v>
      </c>
      <c r="K4" t="s">
        <v>76</v>
      </c>
    </row>
    <row r="5" spans="1:15" x14ac:dyDescent="0.25">
      <c r="A5" t="s">
        <v>30</v>
      </c>
      <c r="B5" t="s">
        <v>33</v>
      </c>
      <c r="C5" t="s">
        <v>19</v>
      </c>
      <c r="D5" s="3">
        <v>30000</v>
      </c>
      <c r="E5" s="3">
        <v>30000</v>
      </c>
      <c r="F5" s="3">
        <v>2000</v>
      </c>
      <c r="G5" s="3">
        <v>0</v>
      </c>
      <c r="H5" s="3">
        <v>500</v>
      </c>
      <c r="I5" s="3"/>
      <c r="J5" t="s">
        <v>27</v>
      </c>
      <c r="K5" t="s">
        <v>77</v>
      </c>
    </row>
    <row r="6" spans="1:15" x14ac:dyDescent="0.25">
      <c r="A6" t="s">
        <v>30</v>
      </c>
      <c r="B6" t="s">
        <v>64</v>
      </c>
      <c r="C6" t="s">
        <v>65</v>
      </c>
      <c r="D6" s="3">
        <v>50000</v>
      </c>
      <c r="E6" s="3">
        <v>50000</v>
      </c>
      <c r="F6" s="3">
        <v>3000</v>
      </c>
      <c r="G6" s="3">
        <v>0</v>
      </c>
      <c r="H6" s="3">
        <v>400</v>
      </c>
      <c r="I6" s="3"/>
      <c r="J6" t="s">
        <v>27</v>
      </c>
      <c r="K6" t="s">
        <v>78</v>
      </c>
    </row>
    <row r="7" spans="1:15" x14ac:dyDescent="0.25">
      <c r="A7" t="s">
        <v>30</v>
      </c>
      <c r="B7" t="s">
        <v>66</v>
      </c>
      <c r="C7" t="s">
        <v>63</v>
      </c>
      <c r="D7" s="3">
        <v>10000</v>
      </c>
      <c r="E7" s="3">
        <v>10000</v>
      </c>
      <c r="F7" s="3">
        <v>5000</v>
      </c>
      <c r="G7" s="3">
        <v>250</v>
      </c>
      <c r="H7" s="3">
        <v>0</v>
      </c>
      <c r="I7" s="3"/>
      <c r="J7" t="s">
        <v>27</v>
      </c>
      <c r="K7" t="s">
        <v>79</v>
      </c>
    </row>
    <row r="8" spans="1:15" x14ac:dyDescent="0.25">
      <c r="A8" t="s">
        <v>68</v>
      </c>
      <c r="B8" t="s">
        <v>66</v>
      </c>
      <c r="C8" t="s">
        <v>63</v>
      </c>
      <c r="D8" s="3">
        <v>3000</v>
      </c>
      <c r="E8" s="3">
        <v>2500</v>
      </c>
      <c r="F8" s="3">
        <v>500</v>
      </c>
      <c r="G8" s="3">
        <v>0</v>
      </c>
      <c r="H8" s="3">
        <v>0</v>
      </c>
      <c r="I8" s="3"/>
      <c r="J8" t="s">
        <v>74</v>
      </c>
      <c r="K8" t="s">
        <v>75</v>
      </c>
    </row>
    <row r="9" spans="1:15" x14ac:dyDescent="0.25">
      <c r="A9" t="s">
        <v>52</v>
      </c>
      <c r="B9" t="s">
        <v>33</v>
      </c>
      <c r="C9" t="s">
        <v>19</v>
      </c>
      <c r="D9" s="3">
        <v>3000</v>
      </c>
      <c r="E9" s="3">
        <v>1000</v>
      </c>
      <c r="F9" s="3">
        <v>500</v>
      </c>
      <c r="G9" s="3">
        <v>0</v>
      </c>
      <c r="H9" s="3">
        <v>0</v>
      </c>
      <c r="I9" s="3"/>
      <c r="J9" t="s">
        <v>74</v>
      </c>
      <c r="K9" t="s">
        <v>75</v>
      </c>
    </row>
    <row r="10" spans="1:15" x14ac:dyDescent="0.25">
      <c r="A10" t="s">
        <v>52</v>
      </c>
      <c r="B10" t="s">
        <v>66</v>
      </c>
      <c r="C10" t="s">
        <v>63</v>
      </c>
      <c r="D10" s="3">
        <v>3000</v>
      </c>
      <c r="E10" s="3">
        <v>1000</v>
      </c>
      <c r="F10" s="3">
        <v>500</v>
      </c>
      <c r="G10" s="3">
        <v>0</v>
      </c>
      <c r="H10" s="3">
        <v>0</v>
      </c>
      <c r="I10" s="3"/>
      <c r="J10" t="s">
        <v>74</v>
      </c>
      <c r="K10" t="s">
        <v>75</v>
      </c>
    </row>
    <row r="11" spans="1:15" x14ac:dyDescent="0.25">
      <c r="A11" t="s">
        <v>70</v>
      </c>
      <c r="B11" t="s">
        <v>33</v>
      </c>
      <c r="C11" t="s">
        <v>19</v>
      </c>
      <c r="D11" s="3">
        <v>25000</v>
      </c>
      <c r="E11" s="3">
        <v>20000</v>
      </c>
      <c r="F11" s="3">
        <v>12500</v>
      </c>
      <c r="G11" s="3">
        <v>1000</v>
      </c>
      <c r="H11" s="3">
        <v>0</v>
      </c>
      <c r="I11" s="3"/>
      <c r="J11" t="s">
        <v>27</v>
      </c>
      <c r="K11" t="s">
        <v>85</v>
      </c>
    </row>
    <row r="12" spans="1:15" x14ac:dyDescent="0.25">
      <c r="A12" t="s">
        <v>20</v>
      </c>
      <c r="B12" t="s">
        <v>26</v>
      </c>
      <c r="C12" t="s">
        <v>24</v>
      </c>
      <c r="D12" s="3">
        <v>120000</v>
      </c>
      <c r="E12" s="3">
        <v>60000</v>
      </c>
      <c r="F12" s="3">
        <v>30000</v>
      </c>
      <c r="G12" s="3">
        <v>1200</v>
      </c>
      <c r="H12" s="3">
        <v>0</v>
      </c>
      <c r="I12" s="3"/>
      <c r="J12" t="s">
        <v>27</v>
      </c>
      <c r="K12" t="s">
        <v>72</v>
      </c>
    </row>
    <row r="13" spans="1:15" x14ac:dyDescent="0.25">
      <c r="A13" t="s">
        <v>20</v>
      </c>
      <c r="B13" t="s">
        <v>97</v>
      </c>
      <c r="C13" t="s">
        <v>53</v>
      </c>
      <c r="D13" s="3">
        <v>14000</v>
      </c>
      <c r="E13" s="3">
        <v>12000</v>
      </c>
      <c r="F13" s="3">
        <v>2000</v>
      </c>
      <c r="G13" s="3">
        <v>350</v>
      </c>
      <c r="H13" s="3">
        <v>0</v>
      </c>
      <c r="I13" s="3"/>
      <c r="J13" t="s">
        <v>27</v>
      </c>
      <c r="K13" t="s">
        <v>96</v>
      </c>
    </row>
    <row r="14" spans="1:15" x14ac:dyDescent="0.25">
      <c r="A14" t="s">
        <v>20</v>
      </c>
      <c r="B14" t="s">
        <v>33</v>
      </c>
      <c r="C14" t="s">
        <v>19</v>
      </c>
      <c r="D14" s="3">
        <v>30000</v>
      </c>
      <c r="E14" s="3">
        <v>30000</v>
      </c>
      <c r="F14" s="3">
        <v>15000</v>
      </c>
      <c r="G14" s="3">
        <v>750</v>
      </c>
      <c r="H14" s="3">
        <v>0</v>
      </c>
      <c r="I14" s="3"/>
      <c r="J14" t="s">
        <v>27</v>
      </c>
      <c r="K14" t="s">
        <v>73</v>
      </c>
    </row>
    <row r="15" spans="1:15" x14ac:dyDescent="0.25">
      <c r="A15" t="s">
        <v>150</v>
      </c>
      <c r="B15" t="s">
        <v>26</v>
      </c>
      <c r="C15" t="s">
        <v>24</v>
      </c>
      <c r="D15" s="3">
        <v>999999</v>
      </c>
      <c r="E15" s="3">
        <v>999999</v>
      </c>
      <c r="F15" s="3">
        <v>999999</v>
      </c>
      <c r="G15" s="3">
        <v>1500</v>
      </c>
      <c r="H15" s="3">
        <v>0</v>
      </c>
      <c r="I15" s="3"/>
      <c r="J15" t="s">
        <v>27</v>
      </c>
      <c r="K15" t="s">
        <v>80</v>
      </c>
    </row>
    <row r="16" spans="1:15" x14ac:dyDescent="0.25">
      <c r="A16" t="s">
        <v>149</v>
      </c>
      <c r="B16" t="s">
        <v>64</v>
      </c>
      <c r="C16" t="s">
        <v>65</v>
      </c>
      <c r="D16" s="3">
        <v>999999</v>
      </c>
      <c r="E16" s="3">
        <v>999999</v>
      </c>
      <c r="F16" s="3">
        <v>999999</v>
      </c>
      <c r="G16" s="3">
        <v>1500</v>
      </c>
      <c r="H16" s="3">
        <v>0</v>
      </c>
      <c r="I16" s="3"/>
      <c r="J16" t="s">
        <v>27</v>
      </c>
      <c r="K16" t="s">
        <v>80</v>
      </c>
    </row>
    <row r="17" spans="1:11" x14ac:dyDescent="0.25">
      <c r="A17" t="s">
        <v>45</v>
      </c>
      <c r="B17" t="s">
        <v>54</v>
      </c>
      <c r="C17" t="s">
        <v>53</v>
      </c>
      <c r="D17" s="3">
        <v>15000</v>
      </c>
      <c r="E17" s="3">
        <v>10000</v>
      </c>
      <c r="F17" s="3">
        <v>1000</v>
      </c>
      <c r="G17" s="3">
        <v>0</v>
      </c>
      <c r="H17" s="3">
        <v>700</v>
      </c>
      <c r="I17" s="3"/>
      <c r="J17" t="s">
        <v>74</v>
      </c>
      <c r="K17" t="s">
        <v>81</v>
      </c>
    </row>
    <row r="18" spans="1:11" x14ac:dyDescent="0.25">
      <c r="A18" t="s">
        <v>40</v>
      </c>
      <c r="B18" t="s">
        <v>33</v>
      </c>
      <c r="C18" t="s">
        <v>19</v>
      </c>
      <c r="D18" s="3">
        <v>3000</v>
      </c>
      <c r="E18" s="3">
        <v>2500</v>
      </c>
      <c r="F18" s="3">
        <v>500</v>
      </c>
      <c r="G18" s="3">
        <v>0</v>
      </c>
      <c r="H18" s="3">
        <v>0</v>
      </c>
      <c r="I18" s="3"/>
    </row>
    <row r="19" spans="1:11" x14ac:dyDescent="0.25">
      <c r="A19" t="s">
        <v>45</v>
      </c>
      <c r="B19" t="s">
        <v>33</v>
      </c>
      <c r="C19" t="s">
        <v>19</v>
      </c>
      <c r="D19" s="3">
        <v>35000</v>
      </c>
      <c r="E19" s="3">
        <v>25000</v>
      </c>
      <c r="F19" s="3">
        <v>8000</v>
      </c>
      <c r="G19" s="3">
        <v>0</v>
      </c>
      <c r="H19" s="3">
        <v>700</v>
      </c>
      <c r="I19" s="3"/>
      <c r="J19" t="s">
        <v>27</v>
      </c>
      <c r="K19" t="s">
        <v>81</v>
      </c>
    </row>
    <row r="20" spans="1:11" x14ac:dyDescent="0.25">
      <c r="A20" t="s">
        <v>45</v>
      </c>
      <c r="B20" t="s">
        <v>66</v>
      </c>
      <c r="C20" t="s">
        <v>63</v>
      </c>
      <c r="D20" s="3">
        <v>25000</v>
      </c>
      <c r="E20" s="3">
        <v>20000</v>
      </c>
      <c r="F20" s="3">
        <v>5000</v>
      </c>
      <c r="G20" s="3">
        <v>0</v>
      </c>
      <c r="H20" s="3">
        <v>500</v>
      </c>
      <c r="I20" s="3"/>
      <c r="J20" t="s">
        <v>27</v>
      </c>
      <c r="K20" t="s">
        <v>83</v>
      </c>
    </row>
    <row r="21" spans="1:11" x14ac:dyDescent="0.25">
      <c r="A21" t="s">
        <v>39</v>
      </c>
      <c r="B21" t="s">
        <v>33</v>
      </c>
      <c r="C21" t="s">
        <v>19</v>
      </c>
      <c r="D21" s="3">
        <v>25000</v>
      </c>
      <c r="E21" s="3">
        <v>18000</v>
      </c>
      <c r="F21" s="3">
        <v>2500</v>
      </c>
      <c r="G21" s="3">
        <v>0</v>
      </c>
      <c r="H21" s="3">
        <v>700</v>
      </c>
      <c r="I21" s="3"/>
      <c r="J21" t="s">
        <v>27</v>
      </c>
      <c r="K21" t="s">
        <v>81</v>
      </c>
    </row>
    <row r="22" spans="1:11" x14ac:dyDescent="0.25">
      <c r="A22" t="s">
        <v>39</v>
      </c>
      <c r="B22" t="s">
        <v>66</v>
      </c>
      <c r="C22" t="s">
        <v>63</v>
      </c>
      <c r="D22" s="3">
        <v>3000</v>
      </c>
      <c r="E22" s="3">
        <v>3000</v>
      </c>
      <c r="F22" s="3">
        <v>1500</v>
      </c>
      <c r="G22" s="3">
        <v>0</v>
      </c>
      <c r="H22" s="3">
        <v>700</v>
      </c>
      <c r="I22" s="3"/>
      <c r="J22" t="s">
        <v>27</v>
      </c>
      <c r="K22" t="s">
        <v>92</v>
      </c>
    </row>
    <row r="23" spans="1:11" x14ac:dyDescent="0.25">
      <c r="A23" t="s">
        <v>147</v>
      </c>
      <c r="B23" t="s">
        <v>33</v>
      </c>
      <c r="C23" t="s">
        <v>19</v>
      </c>
      <c r="D23" s="3">
        <v>14500</v>
      </c>
      <c r="E23" s="3">
        <v>13500</v>
      </c>
      <c r="F23" s="3">
        <v>5000</v>
      </c>
      <c r="G23" s="3">
        <v>0</v>
      </c>
      <c r="H23" s="3">
        <v>700</v>
      </c>
      <c r="I23" s="3"/>
      <c r="J23" t="s">
        <v>27</v>
      </c>
      <c r="K23" t="s">
        <v>82</v>
      </c>
    </row>
    <row r="24" spans="1:11" x14ac:dyDescent="0.25">
      <c r="A24" t="s">
        <v>147</v>
      </c>
      <c r="B24" t="s">
        <v>54</v>
      </c>
      <c r="C24" t="s">
        <v>53</v>
      </c>
      <c r="D24" s="3">
        <v>7500</v>
      </c>
      <c r="E24" s="3">
        <v>6000</v>
      </c>
      <c r="F24" s="3">
        <v>1000</v>
      </c>
      <c r="G24" s="3">
        <v>0</v>
      </c>
      <c r="H24" s="3">
        <v>700</v>
      </c>
      <c r="I24" s="3"/>
      <c r="J24" t="s">
        <v>27</v>
      </c>
      <c r="K24" t="s">
        <v>82</v>
      </c>
    </row>
    <row r="25" spans="1:11" x14ac:dyDescent="0.25">
      <c r="A25" t="s">
        <v>38</v>
      </c>
      <c r="B25" t="s">
        <v>46</v>
      </c>
      <c r="C25" t="s">
        <v>24</v>
      </c>
      <c r="D25" s="3">
        <v>86000</v>
      </c>
      <c r="E25" s="3">
        <v>50000</v>
      </c>
      <c r="F25" s="3">
        <v>25000</v>
      </c>
      <c r="G25" s="3">
        <v>0</v>
      </c>
      <c r="H25" s="3">
        <v>400</v>
      </c>
      <c r="I25" s="3"/>
      <c r="J25" t="s">
        <v>27</v>
      </c>
      <c r="K25" t="s">
        <v>78</v>
      </c>
    </row>
    <row r="26" spans="1:11" x14ac:dyDescent="0.25">
      <c r="A26" t="s">
        <v>38</v>
      </c>
      <c r="B26" t="s">
        <v>54</v>
      </c>
      <c r="C26" t="s">
        <v>53</v>
      </c>
      <c r="D26" s="9">
        <v>15000</v>
      </c>
      <c r="E26" s="3">
        <v>8000</v>
      </c>
      <c r="F26" s="3">
        <v>4000</v>
      </c>
      <c r="G26" s="3">
        <v>0</v>
      </c>
      <c r="H26" s="3">
        <v>700</v>
      </c>
      <c r="I26" s="3"/>
      <c r="J26" t="s">
        <v>27</v>
      </c>
      <c r="K26" t="s">
        <v>93</v>
      </c>
    </row>
    <row r="27" spans="1:11" x14ac:dyDescent="0.25">
      <c r="A27" t="s">
        <v>38</v>
      </c>
      <c r="B27" t="s">
        <v>64</v>
      </c>
      <c r="C27" t="s">
        <v>65</v>
      </c>
      <c r="D27" s="9">
        <v>50000</v>
      </c>
      <c r="E27" s="3">
        <v>50000</v>
      </c>
      <c r="F27" s="3">
        <v>10000</v>
      </c>
      <c r="G27" s="3">
        <v>0</v>
      </c>
      <c r="H27" s="3">
        <v>400</v>
      </c>
      <c r="I27" s="3"/>
      <c r="J27" t="s">
        <v>27</v>
      </c>
    </row>
    <row r="28" spans="1:11" x14ac:dyDescent="0.25">
      <c r="A28" t="s">
        <v>38</v>
      </c>
      <c r="B28" t="s">
        <v>33</v>
      </c>
      <c r="C28" t="s">
        <v>19</v>
      </c>
      <c r="D28" s="9">
        <v>30000</v>
      </c>
      <c r="E28" s="3">
        <v>10000</v>
      </c>
      <c r="F28" s="3">
        <v>5000</v>
      </c>
      <c r="G28" s="3">
        <v>0</v>
      </c>
      <c r="H28" s="3">
        <v>700</v>
      </c>
      <c r="I28" s="3"/>
      <c r="J28" t="s">
        <v>27</v>
      </c>
      <c r="K28" t="s">
        <v>93</v>
      </c>
    </row>
    <row r="29" spans="1:11" x14ac:dyDescent="0.25">
      <c r="A29" t="s">
        <v>38</v>
      </c>
      <c r="B29" t="s">
        <v>66</v>
      </c>
      <c r="C29" t="s">
        <v>63</v>
      </c>
      <c r="D29" s="3">
        <v>20000</v>
      </c>
      <c r="E29" s="3">
        <v>10000</v>
      </c>
      <c r="F29" s="3">
        <v>5000</v>
      </c>
      <c r="G29" s="3">
        <v>500</v>
      </c>
      <c r="H29" s="3">
        <v>0</v>
      </c>
      <c r="I29" s="3"/>
      <c r="J29" t="s">
        <v>27</v>
      </c>
      <c r="K29" t="s">
        <v>94</v>
      </c>
    </row>
    <row r="30" spans="1:11" x14ac:dyDescent="0.25">
      <c r="A30" t="s">
        <v>41</v>
      </c>
      <c r="B30" t="s">
        <v>26</v>
      </c>
      <c r="C30" t="s">
        <v>24</v>
      </c>
      <c r="D30" s="3">
        <v>115000</v>
      </c>
      <c r="E30" s="3">
        <v>50000</v>
      </c>
      <c r="F30" s="3">
        <v>10000</v>
      </c>
      <c r="G30" s="3">
        <v>0</v>
      </c>
      <c r="H30" s="3">
        <v>0</v>
      </c>
      <c r="I30" s="3"/>
      <c r="J30" t="s">
        <v>27</v>
      </c>
      <c r="K30" t="s">
        <v>161</v>
      </c>
    </row>
    <row r="31" spans="1:11" x14ac:dyDescent="0.25">
      <c r="A31" t="s">
        <v>41</v>
      </c>
      <c r="B31" t="s">
        <v>87</v>
      </c>
      <c r="C31" t="s">
        <v>19</v>
      </c>
      <c r="D31" s="3">
        <v>3600</v>
      </c>
      <c r="E31" s="3">
        <v>3000</v>
      </c>
      <c r="F31" s="3">
        <v>500</v>
      </c>
      <c r="G31" s="3">
        <v>0</v>
      </c>
      <c r="H31" s="3">
        <v>0</v>
      </c>
      <c r="I31" s="3"/>
      <c r="J31" t="s">
        <v>27</v>
      </c>
      <c r="K31" t="s">
        <v>162</v>
      </c>
    </row>
    <row r="32" spans="1:11" x14ac:dyDescent="0.25">
      <c r="A32" t="s">
        <v>41</v>
      </c>
      <c r="B32" t="s">
        <v>88</v>
      </c>
      <c r="C32" t="s">
        <v>19</v>
      </c>
      <c r="D32" s="3">
        <v>1500</v>
      </c>
      <c r="E32" s="3">
        <v>1000</v>
      </c>
      <c r="F32" s="3">
        <v>500</v>
      </c>
      <c r="G32" s="3">
        <v>0</v>
      </c>
      <c r="H32" s="3">
        <v>0</v>
      </c>
      <c r="I32" s="3"/>
      <c r="J32" t="s">
        <v>27</v>
      </c>
      <c r="K32" t="s">
        <v>163</v>
      </c>
    </row>
    <row r="33" spans="1:11" x14ac:dyDescent="0.25">
      <c r="A33" t="s">
        <v>67</v>
      </c>
      <c r="B33" t="s">
        <v>66</v>
      </c>
      <c r="C33" t="s">
        <v>63</v>
      </c>
      <c r="D33" s="3">
        <v>3000</v>
      </c>
      <c r="E33" s="3">
        <v>2500</v>
      </c>
      <c r="F33" s="3">
        <v>500</v>
      </c>
      <c r="G33" s="3">
        <v>0</v>
      </c>
      <c r="H33" s="3">
        <v>0</v>
      </c>
      <c r="I33" s="3"/>
      <c r="J33" t="s">
        <v>74</v>
      </c>
      <c r="K33" t="s">
        <v>75</v>
      </c>
    </row>
    <row r="34" spans="1:11" x14ac:dyDescent="0.25">
      <c r="A34" t="s">
        <v>37</v>
      </c>
      <c r="B34" t="s">
        <v>33</v>
      </c>
      <c r="C34" t="s">
        <v>19</v>
      </c>
      <c r="D34" s="3">
        <v>30000</v>
      </c>
      <c r="E34" s="3">
        <v>15000</v>
      </c>
      <c r="F34" s="3">
        <v>5000</v>
      </c>
      <c r="G34" s="3">
        <v>0</v>
      </c>
      <c r="H34" s="3">
        <v>700</v>
      </c>
      <c r="I34" s="3"/>
      <c r="J34" t="s">
        <v>27</v>
      </c>
      <c r="K34" t="s">
        <v>81</v>
      </c>
    </row>
    <row r="35" spans="1:11" x14ac:dyDescent="0.25">
      <c r="A35" t="s">
        <v>51</v>
      </c>
      <c r="B35" t="s">
        <v>33</v>
      </c>
      <c r="C35" t="s">
        <v>19</v>
      </c>
      <c r="D35" s="3">
        <v>3000</v>
      </c>
      <c r="E35" s="3">
        <v>2500</v>
      </c>
      <c r="F35" s="3">
        <v>500</v>
      </c>
      <c r="G35" s="3">
        <v>0</v>
      </c>
      <c r="H35" s="3">
        <v>0</v>
      </c>
      <c r="I35" s="3"/>
      <c r="J35" t="s">
        <v>74</v>
      </c>
      <c r="K35" t="s">
        <v>75</v>
      </c>
    </row>
  </sheetData>
  <autoFilter ref="A1:H35" xr:uid="{00000000-0001-0000-0300-000000000000}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23"/>
  <sheetViews>
    <sheetView workbookViewId="0">
      <selection activeCell="A16" sqref="A16"/>
    </sheetView>
  </sheetViews>
  <sheetFormatPr defaultRowHeight="15" x14ac:dyDescent="0.25"/>
  <cols>
    <col min="1" max="1" width="13.140625" bestFit="1" customWidth="1"/>
    <col min="2" max="2" width="5.7109375" bestFit="1" customWidth="1"/>
    <col min="3" max="3" width="18.28515625" bestFit="1" customWidth="1"/>
    <col min="4" max="4" width="17" customWidth="1"/>
    <col min="5" max="5" width="14.42578125" customWidth="1"/>
  </cols>
  <sheetData>
    <row r="1" spans="1:5" ht="30" x14ac:dyDescent="0.25">
      <c r="A1" s="2" t="s">
        <v>8</v>
      </c>
      <c r="B1" s="2" t="s">
        <v>10</v>
      </c>
      <c r="C1" s="12" t="s">
        <v>157</v>
      </c>
      <c r="D1" s="6" t="s">
        <v>90</v>
      </c>
      <c r="E1" s="11" t="s">
        <v>71</v>
      </c>
    </row>
    <row r="2" spans="1:5" x14ac:dyDescent="0.25">
      <c r="A2" t="s">
        <v>50</v>
      </c>
      <c r="B2" t="s">
        <v>19</v>
      </c>
      <c r="C2" t="s">
        <v>33</v>
      </c>
      <c r="D2" s="8">
        <f>E2/(365*24)</f>
        <v>0.99394977168949772</v>
      </c>
      <c r="E2" s="3">
        <v>8707</v>
      </c>
    </row>
    <row r="3" spans="1:5" x14ac:dyDescent="0.25">
      <c r="A3" t="s">
        <v>30</v>
      </c>
      <c r="B3" t="s">
        <v>19</v>
      </c>
      <c r="C3" t="s">
        <v>33</v>
      </c>
      <c r="D3" s="8">
        <f t="shared" ref="D3:D23" si="0">E3/(365*24)</f>
        <v>72.254908675799086</v>
      </c>
      <c r="E3" s="3">
        <v>632953</v>
      </c>
    </row>
    <row r="4" spans="1:5" x14ac:dyDescent="0.25">
      <c r="A4" t="s">
        <v>30</v>
      </c>
      <c r="B4" t="s">
        <v>63</v>
      </c>
      <c r="C4" t="s">
        <v>66</v>
      </c>
      <c r="D4" s="8">
        <f t="shared" si="0"/>
        <v>31.025456621004565</v>
      </c>
      <c r="E4" s="3">
        <v>271783</v>
      </c>
    </row>
    <row r="5" spans="1:5" x14ac:dyDescent="0.25">
      <c r="A5" t="s">
        <v>68</v>
      </c>
      <c r="B5" t="s">
        <v>63</v>
      </c>
      <c r="C5" t="s">
        <v>66</v>
      </c>
      <c r="D5" s="8">
        <f t="shared" si="0"/>
        <v>4.9425799086757989</v>
      </c>
      <c r="E5" s="3">
        <v>43297</v>
      </c>
    </row>
    <row r="6" spans="1:5" x14ac:dyDescent="0.25">
      <c r="A6" t="s">
        <v>52</v>
      </c>
      <c r="B6" t="s">
        <v>19</v>
      </c>
      <c r="C6" t="s">
        <v>33</v>
      </c>
      <c r="D6" s="8">
        <f t="shared" si="0"/>
        <v>8.5616438356164384</v>
      </c>
      <c r="E6" s="3">
        <v>75000</v>
      </c>
    </row>
    <row r="7" spans="1:5" x14ac:dyDescent="0.25">
      <c r="A7" t="s">
        <v>52</v>
      </c>
      <c r="B7" t="s">
        <v>63</v>
      </c>
      <c r="C7" t="s">
        <v>66</v>
      </c>
      <c r="D7" s="8">
        <f t="shared" si="0"/>
        <v>9.400456621004567</v>
      </c>
      <c r="E7" s="3">
        <v>82348</v>
      </c>
    </row>
    <row r="8" spans="1:5" x14ac:dyDescent="0.25">
      <c r="A8" t="s">
        <v>20</v>
      </c>
      <c r="B8" t="s">
        <v>19</v>
      </c>
      <c r="C8" t="s">
        <v>33</v>
      </c>
      <c r="D8" s="8">
        <f t="shared" si="0"/>
        <v>31.221004566210045</v>
      </c>
      <c r="E8" s="3">
        <v>273496</v>
      </c>
    </row>
    <row r="9" spans="1:5" x14ac:dyDescent="0.25">
      <c r="A9" t="s">
        <v>40</v>
      </c>
      <c r="B9" t="s">
        <v>19</v>
      </c>
      <c r="C9" t="s">
        <v>33</v>
      </c>
      <c r="D9" s="8">
        <f t="shared" si="0"/>
        <v>3.6924657534246577</v>
      </c>
      <c r="E9" s="3">
        <v>32346</v>
      </c>
    </row>
    <row r="10" spans="1:5" x14ac:dyDescent="0.25">
      <c r="A10" t="s">
        <v>45</v>
      </c>
      <c r="B10" t="s">
        <v>53</v>
      </c>
      <c r="C10" t="s">
        <v>54</v>
      </c>
      <c r="D10" s="8">
        <f t="shared" si="0"/>
        <v>47.171917808219177</v>
      </c>
      <c r="E10" s="3">
        <v>413226</v>
      </c>
    </row>
    <row r="11" spans="1:5" x14ac:dyDescent="0.25">
      <c r="A11" t="s">
        <v>45</v>
      </c>
      <c r="B11" t="s">
        <v>19</v>
      </c>
      <c r="C11" t="s">
        <v>33</v>
      </c>
      <c r="D11" s="8">
        <f t="shared" si="0"/>
        <v>96.278881278538819</v>
      </c>
      <c r="E11" s="3">
        <v>843403</v>
      </c>
    </row>
    <row r="12" spans="1:5" x14ac:dyDescent="0.25">
      <c r="A12" t="s">
        <v>45</v>
      </c>
      <c r="B12" t="s">
        <v>63</v>
      </c>
      <c r="C12" t="s">
        <v>66</v>
      </c>
      <c r="D12" s="8">
        <f t="shared" si="0"/>
        <v>48.69908675799087</v>
      </c>
      <c r="E12" s="3">
        <v>426604</v>
      </c>
    </row>
    <row r="13" spans="1:5" x14ac:dyDescent="0.25">
      <c r="A13" t="s">
        <v>39</v>
      </c>
      <c r="B13" t="s">
        <v>19</v>
      </c>
      <c r="C13" t="s">
        <v>33</v>
      </c>
      <c r="D13" s="8">
        <f t="shared" si="0"/>
        <v>22.831050228310502</v>
      </c>
      <c r="E13" s="3">
        <v>200000</v>
      </c>
    </row>
    <row r="14" spans="1:5" x14ac:dyDescent="0.25">
      <c r="A14" t="s">
        <v>39</v>
      </c>
      <c r="B14" t="s">
        <v>63</v>
      </c>
      <c r="C14" t="s">
        <v>66</v>
      </c>
      <c r="D14" s="8">
        <f t="shared" si="0"/>
        <v>3.4031963470319635</v>
      </c>
      <c r="E14" s="3">
        <v>29812</v>
      </c>
    </row>
    <row r="15" spans="1:5" x14ac:dyDescent="0.25">
      <c r="A15" t="s">
        <v>147</v>
      </c>
      <c r="B15" t="s">
        <v>53</v>
      </c>
      <c r="C15" t="s">
        <v>54</v>
      </c>
      <c r="D15" s="8">
        <f t="shared" si="0"/>
        <v>7.2724885844748854</v>
      </c>
      <c r="E15" s="3">
        <v>63707</v>
      </c>
    </row>
    <row r="16" spans="1:5" x14ac:dyDescent="0.25">
      <c r="A16" t="s">
        <v>147</v>
      </c>
      <c r="B16" t="s">
        <v>19</v>
      </c>
      <c r="C16" t="s">
        <v>33</v>
      </c>
      <c r="D16" s="8">
        <f t="shared" si="0"/>
        <v>15.87134703196347</v>
      </c>
      <c r="E16" s="3">
        <v>139033</v>
      </c>
    </row>
    <row r="17" spans="1:5" x14ac:dyDescent="0.25">
      <c r="A17" t="s">
        <v>38</v>
      </c>
      <c r="B17" t="s">
        <v>53</v>
      </c>
      <c r="C17" t="s">
        <v>54</v>
      </c>
      <c r="D17" s="8">
        <f t="shared" si="0"/>
        <v>36.061643835616437</v>
      </c>
      <c r="E17" s="3">
        <v>315900</v>
      </c>
    </row>
    <row r="18" spans="1:5" x14ac:dyDescent="0.25">
      <c r="A18" t="s">
        <v>38</v>
      </c>
      <c r="B18" t="s">
        <v>19</v>
      </c>
      <c r="C18" t="s">
        <v>33</v>
      </c>
      <c r="D18" s="8">
        <f t="shared" si="0"/>
        <v>92.561872146118716</v>
      </c>
      <c r="E18" s="3">
        <v>810842</v>
      </c>
    </row>
    <row r="19" spans="1:5" x14ac:dyDescent="0.25">
      <c r="A19" t="s">
        <v>38</v>
      </c>
      <c r="B19" t="s">
        <v>63</v>
      </c>
      <c r="C19" t="s">
        <v>66</v>
      </c>
      <c r="D19" s="8">
        <f t="shared" si="0"/>
        <v>41.849429223744295</v>
      </c>
      <c r="E19" s="3">
        <v>366601</v>
      </c>
    </row>
    <row r="20" spans="1:5" x14ac:dyDescent="0.25">
      <c r="A20" t="s">
        <v>41</v>
      </c>
      <c r="B20" t="s">
        <v>19</v>
      </c>
      <c r="C20" t="s">
        <v>88</v>
      </c>
      <c r="D20" s="8">
        <f t="shared" si="0"/>
        <v>19.526826484018265</v>
      </c>
      <c r="E20" s="3">
        <v>171055</v>
      </c>
    </row>
    <row r="21" spans="1:5" x14ac:dyDescent="0.25">
      <c r="A21" t="s">
        <v>67</v>
      </c>
      <c r="B21" t="s">
        <v>63</v>
      </c>
      <c r="C21" t="s">
        <v>66</v>
      </c>
      <c r="D21" s="8">
        <f t="shared" si="0"/>
        <v>12.16324200913242</v>
      </c>
      <c r="E21" s="3">
        <v>106550</v>
      </c>
    </row>
    <row r="22" spans="1:5" x14ac:dyDescent="0.25">
      <c r="A22" t="s">
        <v>37</v>
      </c>
      <c r="B22" t="s">
        <v>19</v>
      </c>
      <c r="C22" t="s">
        <v>33</v>
      </c>
      <c r="D22" s="8">
        <f t="shared" si="0"/>
        <v>47.984703196347034</v>
      </c>
      <c r="E22" s="3">
        <v>420346</v>
      </c>
    </row>
    <row r="23" spans="1:5" x14ac:dyDescent="0.25">
      <c r="A23" t="s">
        <v>51</v>
      </c>
      <c r="B23" t="s">
        <v>19</v>
      </c>
      <c r="C23" t="s">
        <v>33</v>
      </c>
      <c r="D23" s="8">
        <f t="shared" si="0"/>
        <v>0.15924657534246575</v>
      </c>
      <c r="E23" s="3">
        <v>1395</v>
      </c>
    </row>
  </sheetData>
  <autoFilter ref="A1:E23" xr:uid="{00000000-0001-0000-0500-000000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A5544C-34DA-4E23-978C-2BA3091E3A4F}">
  <dimension ref="A1:N10"/>
  <sheetViews>
    <sheetView workbookViewId="0"/>
  </sheetViews>
  <sheetFormatPr defaultRowHeight="15" x14ac:dyDescent="0.25"/>
  <cols>
    <col min="1" max="1" width="12.7109375" bestFit="1" customWidth="1"/>
    <col min="2" max="2" width="7.85546875" bestFit="1" customWidth="1"/>
    <col min="3" max="3" width="14.42578125" bestFit="1" customWidth="1"/>
    <col min="4" max="4" width="19.42578125" bestFit="1" customWidth="1"/>
    <col min="5" max="5" width="12.7109375" bestFit="1" customWidth="1"/>
    <col min="6" max="6" width="16.5703125" bestFit="1" customWidth="1"/>
    <col min="7" max="7" width="8.5703125" bestFit="1" customWidth="1"/>
    <col min="8" max="8" width="7.7109375" bestFit="1" customWidth="1"/>
    <col min="9" max="9" width="10.5703125" bestFit="1" customWidth="1"/>
    <col min="10" max="10" width="22.85546875" bestFit="1" customWidth="1"/>
    <col min="11" max="11" width="26.140625" bestFit="1" customWidth="1"/>
    <col min="12" max="12" width="25.140625" bestFit="1" customWidth="1"/>
    <col min="13" max="13" width="18.28515625" bestFit="1" customWidth="1"/>
    <col min="14" max="14" width="20.5703125" bestFit="1" customWidth="1"/>
  </cols>
  <sheetData>
    <row r="1" spans="1:14" x14ac:dyDescent="0.25">
      <c r="A1" s="12" t="s">
        <v>7</v>
      </c>
      <c r="B1" s="12" t="s">
        <v>84</v>
      </c>
      <c r="C1" s="12" t="s">
        <v>100</v>
      </c>
      <c r="D1" s="12" t="s">
        <v>101</v>
      </c>
      <c r="E1" s="12" t="s">
        <v>102</v>
      </c>
      <c r="F1" s="12" t="s">
        <v>103</v>
      </c>
      <c r="G1" s="12" t="s">
        <v>104</v>
      </c>
      <c r="H1" s="12" t="s">
        <v>105</v>
      </c>
      <c r="I1" s="12" t="s">
        <v>106</v>
      </c>
      <c r="J1" s="12" t="s">
        <v>107</v>
      </c>
      <c r="K1" s="12" t="s">
        <v>108</v>
      </c>
      <c r="L1" s="12" t="s">
        <v>109</v>
      </c>
      <c r="M1" s="12" t="s">
        <v>155</v>
      </c>
      <c r="N1" s="12" t="s">
        <v>156</v>
      </c>
    </row>
    <row r="2" spans="1:14" x14ac:dyDescent="0.25">
      <c r="A2" t="s">
        <v>19</v>
      </c>
      <c r="B2" t="s">
        <v>19</v>
      </c>
      <c r="C2" t="s">
        <v>20</v>
      </c>
      <c r="D2" s="16" t="s">
        <v>40</v>
      </c>
      <c r="E2" t="s">
        <v>33</v>
      </c>
      <c r="F2" t="s">
        <v>33</v>
      </c>
      <c r="G2">
        <v>450</v>
      </c>
      <c r="H2">
        <v>1</v>
      </c>
      <c r="I2">
        <v>6</v>
      </c>
      <c r="J2">
        <v>112.5</v>
      </c>
      <c r="K2">
        <v>60</v>
      </c>
      <c r="L2">
        <v>60</v>
      </c>
      <c r="M2">
        <v>675</v>
      </c>
      <c r="N2">
        <v>675</v>
      </c>
    </row>
    <row r="3" spans="1:14" x14ac:dyDescent="0.25">
      <c r="A3" t="s">
        <v>19</v>
      </c>
      <c r="B3" t="s">
        <v>19</v>
      </c>
      <c r="C3" t="s">
        <v>38</v>
      </c>
      <c r="D3" s="16" t="s">
        <v>50</v>
      </c>
      <c r="E3" t="s">
        <v>33</v>
      </c>
      <c r="F3" t="s">
        <v>33</v>
      </c>
      <c r="G3">
        <v>520</v>
      </c>
      <c r="H3">
        <v>1</v>
      </c>
      <c r="I3">
        <v>6</v>
      </c>
      <c r="J3">
        <v>112.5</v>
      </c>
      <c r="K3">
        <v>60</v>
      </c>
      <c r="L3">
        <v>60</v>
      </c>
      <c r="M3">
        <v>675</v>
      </c>
      <c r="N3">
        <v>675</v>
      </c>
    </row>
    <row r="4" spans="1:14" x14ac:dyDescent="0.25">
      <c r="A4" t="s">
        <v>19</v>
      </c>
      <c r="B4" t="s">
        <v>19</v>
      </c>
      <c r="C4" t="s">
        <v>38</v>
      </c>
      <c r="D4" s="16" t="s">
        <v>52</v>
      </c>
      <c r="E4" t="s">
        <v>33</v>
      </c>
      <c r="F4" t="s">
        <v>33</v>
      </c>
      <c r="G4">
        <v>100</v>
      </c>
      <c r="H4">
        <v>1</v>
      </c>
      <c r="I4">
        <v>6</v>
      </c>
      <c r="J4">
        <v>112.5</v>
      </c>
      <c r="K4">
        <v>60</v>
      </c>
      <c r="L4">
        <v>60</v>
      </c>
      <c r="M4">
        <v>675</v>
      </c>
      <c r="N4">
        <v>675</v>
      </c>
    </row>
    <row r="5" spans="1:14" x14ac:dyDescent="0.25">
      <c r="A5" t="s">
        <v>19</v>
      </c>
      <c r="B5" t="s">
        <v>19</v>
      </c>
      <c r="C5" t="s">
        <v>38</v>
      </c>
      <c r="D5" s="16" t="s">
        <v>51</v>
      </c>
      <c r="E5" t="s">
        <v>33</v>
      </c>
      <c r="F5" t="s">
        <v>33</v>
      </c>
      <c r="G5">
        <v>430</v>
      </c>
      <c r="H5">
        <v>1</v>
      </c>
      <c r="I5">
        <v>6</v>
      </c>
      <c r="J5">
        <v>112.5</v>
      </c>
      <c r="K5">
        <v>60</v>
      </c>
      <c r="L5">
        <v>60</v>
      </c>
      <c r="M5">
        <v>675</v>
      </c>
      <c r="N5">
        <v>675</v>
      </c>
    </row>
    <row r="6" spans="1:14" x14ac:dyDescent="0.25">
      <c r="A6" t="s">
        <v>19</v>
      </c>
      <c r="B6" t="s">
        <v>19</v>
      </c>
      <c r="C6" t="s">
        <v>41</v>
      </c>
      <c r="D6" t="s">
        <v>70</v>
      </c>
      <c r="E6" t="s">
        <v>87</v>
      </c>
      <c r="F6" t="s">
        <v>33</v>
      </c>
      <c r="G6">
        <v>25</v>
      </c>
      <c r="H6">
        <v>1</v>
      </c>
      <c r="I6">
        <v>6</v>
      </c>
      <c r="J6">
        <v>112.5</v>
      </c>
      <c r="K6">
        <v>60</v>
      </c>
      <c r="L6">
        <v>60</v>
      </c>
      <c r="M6">
        <v>675</v>
      </c>
      <c r="N6">
        <v>675</v>
      </c>
    </row>
    <row r="7" spans="1:14" x14ac:dyDescent="0.25">
      <c r="A7" t="s">
        <v>63</v>
      </c>
      <c r="B7" t="s">
        <v>63</v>
      </c>
      <c r="C7" t="s">
        <v>30</v>
      </c>
      <c r="D7" s="16" t="s">
        <v>67</v>
      </c>
      <c r="E7" t="s">
        <v>66</v>
      </c>
      <c r="F7" t="s">
        <v>66</v>
      </c>
      <c r="G7">
        <v>30</v>
      </c>
      <c r="H7">
        <v>1</v>
      </c>
      <c r="I7">
        <v>6</v>
      </c>
      <c r="J7">
        <v>112.5</v>
      </c>
      <c r="K7">
        <v>60</v>
      </c>
      <c r="L7">
        <v>60</v>
      </c>
      <c r="M7">
        <v>675</v>
      </c>
      <c r="N7">
        <v>675</v>
      </c>
    </row>
    <row r="8" spans="1:14" x14ac:dyDescent="0.25">
      <c r="A8" t="s">
        <v>63</v>
      </c>
      <c r="B8" t="s">
        <v>63</v>
      </c>
      <c r="C8" t="s">
        <v>38</v>
      </c>
      <c r="D8" s="16" t="s">
        <v>68</v>
      </c>
      <c r="E8" t="s">
        <v>66</v>
      </c>
      <c r="F8" t="s">
        <v>66</v>
      </c>
      <c r="G8">
        <v>100</v>
      </c>
      <c r="H8">
        <v>1</v>
      </c>
      <c r="I8">
        <v>6</v>
      </c>
      <c r="J8">
        <v>112.5</v>
      </c>
      <c r="K8">
        <v>60</v>
      </c>
      <c r="L8">
        <v>60</v>
      </c>
      <c r="M8">
        <v>675</v>
      </c>
      <c r="N8">
        <v>675</v>
      </c>
    </row>
    <row r="9" spans="1:14" x14ac:dyDescent="0.25">
      <c r="A9" t="s">
        <v>63</v>
      </c>
      <c r="B9" t="s">
        <v>63</v>
      </c>
      <c r="C9" t="s">
        <v>38</v>
      </c>
      <c r="D9" s="16" t="s">
        <v>52</v>
      </c>
      <c r="E9" t="s">
        <v>66</v>
      </c>
      <c r="F9" t="s">
        <v>66</v>
      </c>
      <c r="G9">
        <v>100</v>
      </c>
      <c r="H9">
        <v>1</v>
      </c>
      <c r="I9">
        <v>6</v>
      </c>
      <c r="J9">
        <v>112.5</v>
      </c>
      <c r="K9">
        <v>60</v>
      </c>
      <c r="L9">
        <v>60</v>
      </c>
      <c r="M9">
        <v>675</v>
      </c>
      <c r="N9">
        <v>675</v>
      </c>
    </row>
    <row r="10" spans="1:14" x14ac:dyDescent="0.25">
      <c r="A10" t="s">
        <v>63</v>
      </c>
      <c r="B10" t="s">
        <v>63</v>
      </c>
      <c r="C10" t="s">
        <v>38</v>
      </c>
      <c r="D10" s="16" t="s">
        <v>39</v>
      </c>
      <c r="E10" t="s">
        <v>66</v>
      </c>
      <c r="F10" t="s">
        <v>66</v>
      </c>
      <c r="G10">
        <v>280</v>
      </c>
      <c r="H10">
        <v>1</v>
      </c>
      <c r="I10">
        <v>6</v>
      </c>
      <c r="J10">
        <v>112.5</v>
      </c>
      <c r="K10">
        <v>60</v>
      </c>
      <c r="L10">
        <v>60</v>
      </c>
      <c r="M10">
        <v>675</v>
      </c>
      <c r="N10">
        <v>675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7C592-8DF8-40A4-9452-62826144206E}">
  <dimension ref="A1:H6"/>
  <sheetViews>
    <sheetView workbookViewId="0"/>
  </sheetViews>
  <sheetFormatPr defaultRowHeight="15" x14ac:dyDescent="0.25"/>
  <cols>
    <col min="1" max="1" width="14.42578125" bestFit="1" customWidth="1"/>
    <col min="2" max="2" width="12.28515625" bestFit="1" customWidth="1"/>
    <col min="4" max="4" width="22.85546875" bestFit="1" customWidth="1"/>
    <col min="5" max="5" width="7.28515625" bestFit="1" customWidth="1"/>
    <col min="6" max="6" width="15.5703125" bestFit="1" customWidth="1"/>
  </cols>
  <sheetData>
    <row r="1" spans="1:8" x14ac:dyDescent="0.25">
      <c r="A1" s="12" t="s">
        <v>100</v>
      </c>
      <c r="B1" s="12" t="s">
        <v>110</v>
      </c>
      <c r="C1" s="12" t="s">
        <v>111</v>
      </c>
      <c r="D1" s="12" t="s">
        <v>112</v>
      </c>
      <c r="E1" s="12" t="s">
        <v>158</v>
      </c>
      <c r="F1" s="12" t="s">
        <v>159</v>
      </c>
    </row>
    <row r="2" spans="1:8" x14ac:dyDescent="0.25">
      <c r="A2" t="s">
        <v>70</v>
      </c>
      <c r="B2" t="s">
        <v>133</v>
      </c>
      <c r="C2">
        <v>1</v>
      </c>
      <c r="D2">
        <v>11</v>
      </c>
      <c r="E2">
        <v>5</v>
      </c>
      <c r="F2">
        <v>5000</v>
      </c>
    </row>
    <row r="3" spans="1:8" x14ac:dyDescent="0.25">
      <c r="A3" t="s">
        <v>20</v>
      </c>
      <c r="B3" t="s">
        <v>134</v>
      </c>
      <c r="C3">
        <v>3</v>
      </c>
      <c r="D3">
        <v>12</v>
      </c>
      <c r="E3">
        <v>5</v>
      </c>
      <c r="F3">
        <v>5000</v>
      </c>
    </row>
    <row r="4" spans="1:8" x14ac:dyDescent="0.25">
      <c r="A4" t="s">
        <v>150</v>
      </c>
      <c r="B4" t="s">
        <v>150</v>
      </c>
      <c r="C4">
        <v>1</v>
      </c>
      <c r="D4">
        <v>10</v>
      </c>
      <c r="E4">
        <v>5</v>
      </c>
      <c r="F4">
        <v>5000</v>
      </c>
    </row>
    <row r="5" spans="1:8" x14ac:dyDescent="0.25">
      <c r="A5" t="s">
        <v>149</v>
      </c>
      <c r="B5" t="s">
        <v>149</v>
      </c>
      <c r="C5">
        <v>1</v>
      </c>
      <c r="D5">
        <v>10</v>
      </c>
      <c r="E5">
        <v>5</v>
      </c>
      <c r="F5">
        <v>5000</v>
      </c>
    </row>
    <row r="6" spans="1:8" x14ac:dyDescent="0.25">
      <c r="A6" t="s">
        <v>38</v>
      </c>
      <c r="B6" t="s">
        <v>134</v>
      </c>
      <c r="C6">
        <v>3</v>
      </c>
      <c r="D6">
        <v>12</v>
      </c>
      <c r="E6">
        <v>5</v>
      </c>
      <c r="F6">
        <v>5000</v>
      </c>
      <c r="H6" t="s">
        <v>164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ED7A9F-D7E6-4E14-9696-E626FEE043EB}">
  <dimension ref="A1:E11"/>
  <sheetViews>
    <sheetView workbookViewId="0">
      <selection activeCell="A9" sqref="A9"/>
    </sheetView>
  </sheetViews>
  <sheetFormatPr defaultRowHeight="15" x14ac:dyDescent="0.25"/>
  <cols>
    <col min="1" max="1" width="13.140625" bestFit="1" customWidth="1"/>
    <col min="3" max="3" width="27.28515625" bestFit="1" customWidth="1"/>
    <col min="4" max="4" width="14.42578125" bestFit="1" customWidth="1"/>
    <col min="5" max="5" width="16" bestFit="1" customWidth="1"/>
  </cols>
  <sheetData>
    <row r="1" spans="1:5" x14ac:dyDescent="0.25">
      <c r="A1" s="12" t="s">
        <v>8</v>
      </c>
      <c r="B1" s="12" t="s">
        <v>91</v>
      </c>
      <c r="C1" s="12" t="s">
        <v>113</v>
      </c>
      <c r="D1" s="12" t="s">
        <v>114</v>
      </c>
      <c r="E1" s="12" t="s">
        <v>115</v>
      </c>
    </row>
    <row r="2" spans="1:5" x14ac:dyDescent="0.25">
      <c r="A2" t="s">
        <v>30</v>
      </c>
      <c r="B2">
        <v>1</v>
      </c>
      <c r="C2">
        <v>0.2</v>
      </c>
      <c r="D2">
        <v>1.5</v>
      </c>
      <c r="E2">
        <v>1.5</v>
      </c>
    </row>
    <row r="3" spans="1:5" x14ac:dyDescent="0.25">
      <c r="A3" t="s">
        <v>70</v>
      </c>
      <c r="B3">
        <v>1</v>
      </c>
      <c r="C3">
        <v>0.2</v>
      </c>
      <c r="D3">
        <v>1.5</v>
      </c>
      <c r="E3">
        <v>1.5</v>
      </c>
    </row>
    <row r="4" spans="1:5" x14ac:dyDescent="0.25">
      <c r="A4" t="s">
        <v>20</v>
      </c>
      <c r="B4">
        <v>1</v>
      </c>
      <c r="C4">
        <v>0.2</v>
      </c>
      <c r="D4">
        <v>1.5</v>
      </c>
      <c r="E4">
        <v>1.5</v>
      </c>
    </row>
    <row r="5" spans="1:5" x14ac:dyDescent="0.25">
      <c r="A5" t="s">
        <v>150</v>
      </c>
      <c r="B5">
        <v>1</v>
      </c>
      <c r="C5">
        <v>0.2</v>
      </c>
      <c r="D5">
        <v>1.5</v>
      </c>
      <c r="E5">
        <v>1.5</v>
      </c>
    </row>
    <row r="6" spans="1:5" x14ac:dyDescent="0.25">
      <c r="A6" t="s">
        <v>149</v>
      </c>
      <c r="B6">
        <v>1</v>
      </c>
      <c r="C6">
        <v>0.2</v>
      </c>
      <c r="D6">
        <v>1.5</v>
      </c>
      <c r="E6">
        <v>1.5</v>
      </c>
    </row>
    <row r="7" spans="1:5" x14ac:dyDescent="0.25">
      <c r="A7" t="s">
        <v>45</v>
      </c>
      <c r="B7">
        <v>1</v>
      </c>
      <c r="C7">
        <v>0.2</v>
      </c>
      <c r="D7">
        <v>1.5</v>
      </c>
      <c r="E7">
        <v>1.5</v>
      </c>
    </row>
    <row r="8" spans="1:5" x14ac:dyDescent="0.25">
      <c r="A8" t="s">
        <v>39</v>
      </c>
      <c r="B8">
        <v>1</v>
      </c>
      <c r="C8">
        <v>0.2</v>
      </c>
      <c r="D8">
        <v>1.5</v>
      </c>
      <c r="E8">
        <v>1.5</v>
      </c>
    </row>
    <row r="9" spans="1:5" x14ac:dyDescent="0.25">
      <c r="A9" t="s">
        <v>147</v>
      </c>
      <c r="B9">
        <v>1</v>
      </c>
      <c r="C9">
        <v>0.2</v>
      </c>
      <c r="D9">
        <v>1.5</v>
      </c>
      <c r="E9">
        <v>1.5</v>
      </c>
    </row>
    <row r="10" spans="1:5" x14ac:dyDescent="0.25">
      <c r="A10" t="s">
        <v>38</v>
      </c>
      <c r="B10">
        <v>2</v>
      </c>
      <c r="C10">
        <v>0.2</v>
      </c>
      <c r="D10">
        <v>1.5</v>
      </c>
      <c r="E10">
        <v>1.5</v>
      </c>
    </row>
    <row r="11" spans="1:5" x14ac:dyDescent="0.25">
      <c r="A11" t="s">
        <v>37</v>
      </c>
      <c r="B11">
        <v>1</v>
      </c>
      <c r="C11">
        <v>0.2</v>
      </c>
      <c r="D11">
        <v>1.5</v>
      </c>
      <c r="E11">
        <v>1.5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4567A9-6C72-4B48-AD7D-7F7718ACFC30}">
  <dimension ref="A1:R20"/>
  <sheetViews>
    <sheetView topLeftCell="D1" workbookViewId="0">
      <selection activeCell="J3" sqref="J3"/>
    </sheetView>
  </sheetViews>
  <sheetFormatPr defaultRowHeight="15" x14ac:dyDescent="0.25"/>
  <cols>
    <col min="1" max="1" width="21.42578125" bestFit="1" customWidth="1"/>
    <col min="2" max="3" width="13.140625" bestFit="1" customWidth="1"/>
    <col min="4" max="4" width="10.28515625" bestFit="1" customWidth="1"/>
    <col min="5" max="5" width="11.7109375" bestFit="1" customWidth="1"/>
    <col min="6" max="6" width="10.140625" bestFit="1" customWidth="1"/>
    <col min="7" max="8" width="10.42578125" bestFit="1" customWidth="1"/>
    <col min="9" max="9" width="10.140625" bestFit="1" customWidth="1"/>
    <col min="10" max="10" width="10" bestFit="1" customWidth="1"/>
    <col min="11" max="11" width="13.140625" bestFit="1" customWidth="1"/>
    <col min="12" max="12" width="11.7109375" bestFit="1" customWidth="1"/>
    <col min="13" max="13" width="13.140625" bestFit="1" customWidth="1"/>
    <col min="14" max="14" width="12.140625" bestFit="1" customWidth="1"/>
  </cols>
  <sheetData>
    <row r="1" spans="1:18" x14ac:dyDescent="0.25">
      <c r="A1" s="12" t="s">
        <v>135</v>
      </c>
      <c r="B1" s="12" t="s">
        <v>136</v>
      </c>
      <c r="C1" s="12" t="s">
        <v>138</v>
      </c>
      <c r="D1" s="12" t="s">
        <v>139</v>
      </c>
      <c r="E1" s="12" t="s">
        <v>140</v>
      </c>
      <c r="F1" s="12" t="s">
        <v>141</v>
      </c>
      <c r="G1" s="12" t="s">
        <v>142</v>
      </c>
      <c r="H1" s="12" t="s">
        <v>143</v>
      </c>
      <c r="I1" s="12" t="s">
        <v>144</v>
      </c>
      <c r="J1" s="12" t="s">
        <v>145</v>
      </c>
      <c r="K1" s="12" t="s">
        <v>146</v>
      </c>
      <c r="L1" s="12" t="s">
        <v>148</v>
      </c>
      <c r="M1" s="12" t="s">
        <v>153</v>
      </c>
      <c r="N1" s="12" t="s">
        <v>154</v>
      </c>
      <c r="O1" s="12" t="s">
        <v>165</v>
      </c>
      <c r="P1" s="12" t="s">
        <v>166</v>
      </c>
      <c r="Q1" s="12" t="s">
        <v>167</v>
      </c>
    </row>
    <row r="2" spans="1:18" x14ac:dyDescent="0.25">
      <c r="A2" t="s">
        <v>110</v>
      </c>
      <c r="B2" t="s">
        <v>134</v>
      </c>
      <c r="C2" t="s">
        <v>134</v>
      </c>
      <c r="D2" t="s">
        <v>134</v>
      </c>
      <c r="E2" t="s">
        <v>134</v>
      </c>
      <c r="F2" t="s">
        <v>134</v>
      </c>
      <c r="G2" t="s">
        <v>134</v>
      </c>
      <c r="H2" t="s">
        <v>134</v>
      </c>
      <c r="I2" t="s">
        <v>134</v>
      </c>
      <c r="J2" t="s">
        <v>134</v>
      </c>
      <c r="K2" t="s">
        <v>134</v>
      </c>
      <c r="L2" t="s">
        <v>133</v>
      </c>
      <c r="M2" t="s">
        <v>133</v>
      </c>
      <c r="N2" t="s">
        <v>133</v>
      </c>
      <c r="O2" t="s">
        <v>150</v>
      </c>
      <c r="P2" t="s">
        <v>150</v>
      </c>
      <c r="Q2" t="s">
        <v>149</v>
      </c>
      <c r="R2" t="s">
        <v>149</v>
      </c>
    </row>
    <row r="3" spans="1:18" x14ac:dyDescent="0.25">
      <c r="A3" t="s">
        <v>69</v>
      </c>
      <c r="B3" s="17">
        <v>1.01</v>
      </c>
      <c r="C3" s="17">
        <v>1.02</v>
      </c>
      <c r="D3" s="17">
        <v>1.03</v>
      </c>
      <c r="E3" s="17">
        <v>1.04</v>
      </c>
      <c r="F3" s="17">
        <v>1.05</v>
      </c>
      <c r="G3" s="17">
        <v>1.06</v>
      </c>
      <c r="H3" s="17">
        <v>1.07</v>
      </c>
      <c r="I3" s="17">
        <v>1.08</v>
      </c>
      <c r="J3" s="17">
        <v>1.0900000000000001</v>
      </c>
      <c r="K3" s="17">
        <v>1.1000000000000001</v>
      </c>
      <c r="L3">
        <v>2.0099999999999998</v>
      </c>
      <c r="M3">
        <v>2.02</v>
      </c>
      <c r="N3">
        <v>2.0299999999999998</v>
      </c>
      <c r="O3">
        <v>3.01</v>
      </c>
      <c r="P3">
        <v>3.02</v>
      </c>
      <c r="Q3">
        <v>4.01</v>
      </c>
      <c r="R3">
        <v>4.0199999999999996</v>
      </c>
    </row>
    <row r="4" spans="1:18" x14ac:dyDescent="0.25">
      <c r="A4" t="s">
        <v>100</v>
      </c>
      <c r="B4" t="s">
        <v>20</v>
      </c>
      <c r="C4" t="s">
        <v>20</v>
      </c>
      <c r="D4" t="s">
        <v>20</v>
      </c>
      <c r="E4" t="s">
        <v>20</v>
      </c>
      <c r="F4" t="s">
        <v>20</v>
      </c>
      <c r="G4" t="s">
        <v>20</v>
      </c>
      <c r="H4" t="s">
        <v>20</v>
      </c>
      <c r="I4" t="s">
        <v>20</v>
      </c>
      <c r="J4" t="s">
        <v>20</v>
      </c>
      <c r="K4" t="s">
        <v>20</v>
      </c>
      <c r="L4" t="s">
        <v>70</v>
      </c>
      <c r="M4" t="s">
        <v>70</v>
      </c>
      <c r="N4" t="s">
        <v>70</v>
      </c>
      <c r="O4" t="s">
        <v>150</v>
      </c>
      <c r="P4" t="s">
        <v>150</v>
      </c>
      <c r="Q4" t="s">
        <v>149</v>
      </c>
      <c r="R4" t="s">
        <v>149</v>
      </c>
    </row>
    <row r="5" spans="1:18" x14ac:dyDescent="0.25">
      <c r="A5" t="s">
        <v>116</v>
      </c>
      <c r="B5" t="s">
        <v>24</v>
      </c>
      <c r="C5" t="s">
        <v>19</v>
      </c>
      <c r="D5" t="s">
        <v>19</v>
      </c>
      <c r="E5" t="s">
        <v>19</v>
      </c>
      <c r="F5" t="s">
        <v>19</v>
      </c>
      <c r="G5" t="s">
        <v>19</v>
      </c>
      <c r="H5" t="s">
        <v>53</v>
      </c>
      <c r="I5" t="s">
        <v>53</v>
      </c>
      <c r="J5" t="s">
        <v>53</v>
      </c>
      <c r="K5" t="s">
        <v>53</v>
      </c>
      <c r="L5" t="s">
        <v>19</v>
      </c>
      <c r="M5" t="s">
        <v>19</v>
      </c>
      <c r="N5" t="s">
        <v>19</v>
      </c>
      <c r="O5" t="s">
        <v>24</v>
      </c>
      <c r="P5" t="s">
        <v>24</v>
      </c>
      <c r="Q5" t="s">
        <v>65</v>
      </c>
      <c r="R5" t="s">
        <v>65</v>
      </c>
    </row>
    <row r="6" spans="1:18" x14ac:dyDescent="0.25">
      <c r="A6" t="s">
        <v>117</v>
      </c>
      <c r="B6" t="s">
        <v>137</v>
      </c>
      <c r="C6" t="s">
        <v>33</v>
      </c>
      <c r="D6" t="s">
        <v>33</v>
      </c>
      <c r="E6" t="s">
        <v>33</v>
      </c>
      <c r="F6" t="s">
        <v>33</v>
      </c>
      <c r="G6" t="s">
        <v>33</v>
      </c>
      <c r="H6" t="s">
        <v>97</v>
      </c>
      <c r="I6" t="s">
        <v>97</v>
      </c>
      <c r="J6" t="s">
        <v>97</v>
      </c>
      <c r="K6" t="s">
        <v>97</v>
      </c>
      <c r="L6" t="s">
        <v>33</v>
      </c>
      <c r="M6" t="s">
        <v>33</v>
      </c>
      <c r="N6" t="s">
        <v>33</v>
      </c>
      <c r="O6" t="s">
        <v>26</v>
      </c>
      <c r="P6" t="s">
        <v>26</v>
      </c>
      <c r="Q6" t="s">
        <v>64</v>
      </c>
      <c r="R6" t="s">
        <v>64</v>
      </c>
    </row>
    <row r="7" spans="1:18" x14ac:dyDescent="0.25">
      <c r="A7" t="s">
        <v>118</v>
      </c>
      <c r="E7" t="s">
        <v>53</v>
      </c>
      <c r="F7" t="s">
        <v>53</v>
      </c>
      <c r="G7" t="s">
        <v>53</v>
      </c>
    </row>
    <row r="8" spans="1:18" x14ac:dyDescent="0.25">
      <c r="A8" t="s">
        <v>119</v>
      </c>
      <c r="E8" t="s">
        <v>97</v>
      </c>
      <c r="F8" t="s">
        <v>97</v>
      </c>
      <c r="G8" t="s">
        <v>97</v>
      </c>
    </row>
    <row r="9" spans="1:18" x14ac:dyDescent="0.25">
      <c r="A9" t="s">
        <v>120</v>
      </c>
      <c r="B9" t="s">
        <v>30</v>
      </c>
      <c r="C9" t="s">
        <v>30</v>
      </c>
      <c r="D9" t="s">
        <v>37</v>
      </c>
      <c r="E9" t="s">
        <v>38</v>
      </c>
      <c r="F9" t="s">
        <v>39</v>
      </c>
      <c r="G9" t="s">
        <v>38</v>
      </c>
      <c r="H9" t="s">
        <v>38</v>
      </c>
      <c r="I9" t="s">
        <v>45</v>
      </c>
      <c r="J9" t="s">
        <v>45</v>
      </c>
      <c r="K9" t="s">
        <v>45</v>
      </c>
      <c r="L9" t="s">
        <v>45</v>
      </c>
      <c r="M9" t="s">
        <v>39</v>
      </c>
      <c r="N9" t="s">
        <v>147</v>
      </c>
      <c r="O9" t="s">
        <v>30</v>
      </c>
      <c r="P9" t="s">
        <v>38</v>
      </c>
      <c r="Q9" t="s">
        <v>30</v>
      </c>
      <c r="R9" t="s">
        <v>38</v>
      </c>
    </row>
    <row r="10" spans="1:18" x14ac:dyDescent="0.25">
      <c r="A10" t="s">
        <v>121</v>
      </c>
      <c r="B10" t="s">
        <v>24</v>
      </c>
      <c r="C10" t="s">
        <v>19</v>
      </c>
      <c r="D10" t="s">
        <v>19</v>
      </c>
      <c r="E10" t="s">
        <v>19</v>
      </c>
      <c r="F10" t="s">
        <v>19</v>
      </c>
      <c r="G10" t="s">
        <v>19</v>
      </c>
      <c r="H10" t="s">
        <v>53</v>
      </c>
      <c r="I10" t="s">
        <v>53</v>
      </c>
      <c r="J10" t="s">
        <v>53</v>
      </c>
      <c r="K10" t="s">
        <v>53</v>
      </c>
      <c r="L10" t="s">
        <v>19</v>
      </c>
      <c r="M10" t="s">
        <v>19</v>
      </c>
      <c r="N10" t="s">
        <v>19</v>
      </c>
      <c r="O10" t="s">
        <v>24</v>
      </c>
      <c r="P10" t="s">
        <v>24</v>
      </c>
      <c r="Q10" t="s">
        <v>65</v>
      </c>
      <c r="R10" t="s">
        <v>65</v>
      </c>
    </row>
    <row r="11" spans="1:18" x14ac:dyDescent="0.25">
      <c r="A11" t="s">
        <v>122</v>
      </c>
      <c r="B11" t="s">
        <v>137</v>
      </c>
      <c r="C11" t="s">
        <v>33</v>
      </c>
      <c r="D11" t="s">
        <v>33</v>
      </c>
      <c r="E11" t="s">
        <v>33</v>
      </c>
      <c r="F11" t="s">
        <v>33</v>
      </c>
      <c r="G11" t="s">
        <v>33</v>
      </c>
      <c r="H11" t="s">
        <v>54</v>
      </c>
      <c r="I11" t="s">
        <v>54</v>
      </c>
      <c r="J11" t="s">
        <v>54</v>
      </c>
      <c r="K11" t="s">
        <v>54</v>
      </c>
      <c r="L11" t="s">
        <v>33</v>
      </c>
      <c r="M11" t="s">
        <v>33</v>
      </c>
      <c r="N11" t="s">
        <v>33</v>
      </c>
      <c r="O11" t="s">
        <v>46</v>
      </c>
      <c r="P11" t="s">
        <v>46</v>
      </c>
      <c r="Q11" t="s">
        <v>64</v>
      </c>
      <c r="R11" t="s">
        <v>64</v>
      </c>
    </row>
    <row r="12" spans="1:18" x14ac:dyDescent="0.25">
      <c r="A12" t="s">
        <v>123</v>
      </c>
      <c r="E12" t="s">
        <v>53</v>
      </c>
    </row>
    <row r="13" spans="1:18" x14ac:dyDescent="0.25">
      <c r="A13" t="s">
        <v>124</v>
      </c>
      <c r="E13" t="s">
        <v>54</v>
      </c>
    </row>
    <row r="14" spans="1:18" x14ac:dyDescent="0.25">
      <c r="A14" t="s">
        <v>125</v>
      </c>
      <c r="E14" t="s">
        <v>38</v>
      </c>
      <c r="K14" t="s">
        <v>70</v>
      </c>
    </row>
    <row r="15" spans="1:18" x14ac:dyDescent="0.25">
      <c r="A15" t="s">
        <v>126</v>
      </c>
      <c r="E15" t="s">
        <v>63</v>
      </c>
      <c r="K15" t="s">
        <v>19</v>
      </c>
    </row>
    <row r="16" spans="1:18" x14ac:dyDescent="0.25">
      <c r="A16" t="s">
        <v>127</v>
      </c>
      <c r="E16" t="s">
        <v>66</v>
      </c>
      <c r="K16" t="s">
        <v>33</v>
      </c>
    </row>
    <row r="17" spans="1:18" x14ac:dyDescent="0.25">
      <c r="A17" t="s">
        <v>128</v>
      </c>
      <c r="E17" t="s">
        <v>45</v>
      </c>
      <c r="F17" t="s">
        <v>45</v>
      </c>
      <c r="G17" t="s">
        <v>147</v>
      </c>
      <c r="J17" t="s">
        <v>147</v>
      </c>
      <c r="K17" t="s">
        <v>45</v>
      </c>
    </row>
    <row r="18" spans="1:18" x14ac:dyDescent="0.25">
      <c r="A18" t="s">
        <v>129</v>
      </c>
      <c r="E18" t="s">
        <v>63</v>
      </c>
      <c r="F18" t="s">
        <v>53</v>
      </c>
      <c r="G18" t="s">
        <v>53</v>
      </c>
      <c r="J18" t="s">
        <v>53</v>
      </c>
      <c r="K18" t="s">
        <v>19</v>
      </c>
    </row>
    <row r="19" spans="1:18" x14ac:dyDescent="0.25">
      <c r="A19" t="s">
        <v>130</v>
      </c>
      <c r="E19" t="s">
        <v>66</v>
      </c>
      <c r="F19" t="s">
        <v>54</v>
      </c>
      <c r="G19" t="s">
        <v>54</v>
      </c>
      <c r="J19" t="s">
        <v>54</v>
      </c>
      <c r="K19" t="s">
        <v>33</v>
      </c>
    </row>
    <row r="20" spans="1:18" x14ac:dyDescent="0.25">
      <c r="A20" t="s">
        <v>131</v>
      </c>
      <c r="B20" t="s">
        <v>20</v>
      </c>
      <c r="C20" t="s">
        <v>20</v>
      </c>
      <c r="D20" t="s">
        <v>20</v>
      </c>
      <c r="E20" t="s">
        <v>20</v>
      </c>
      <c r="F20" t="s">
        <v>20</v>
      </c>
      <c r="G20" t="s">
        <v>20</v>
      </c>
      <c r="H20" t="s">
        <v>20</v>
      </c>
      <c r="I20" t="s">
        <v>20</v>
      </c>
      <c r="J20" t="s">
        <v>20</v>
      </c>
      <c r="K20" t="s">
        <v>20</v>
      </c>
      <c r="L20" t="s">
        <v>70</v>
      </c>
      <c r="M20" t="s">
        <v>70</v>
      </c>
      <c r="N20" t="s">
        <v>70</v>
      </c>
      <c r="O20" t="s">
        <v>150</v>
      </c>
      <c r="P20" t="s">
        <v>150</v>
      </c>
      <c r="Q20" t="s">
        <v>149</v>
      </c>
      <c r="R20" t="s">
        <v>149</v>
      </c>
    </row>
  </sheetData>
  <phoneticPr fontId="4" type="noConversion"/>
  <pageMargins left="0.75" right="0.75" top="1" bottom="1" header="0.5" footer="0.5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1E5A6-CCD5-4160-8FE2-2B3BB5978653}">
  <dimension ref="A1:C18"/>
  <sheetViews>
    <sheetView workbookViewId="0">
      <selection sqref="A1:C18"/>
    </sheetView>
  </sheetViews>
  <sheetFormatPr defaultRowHeight="15" x14ac:dyDescent="0.25"/>
  <cols>
    <col min="1" max="1" width="13.140625" bestFit="1" customWidth="1"/>
    <col min="2" max="2" width="12.140625" bestFit="1" customWidth="1"/>
    <col min="3" max="3" width="13.5703125" bestFit="1" customWidth="1"/>
  </cols>
  <sheetData>
    <row r="1" spans="1:3" x14ac:dyDescent="0.25">
      <c r="A1" s="18" t="s">
        <v>151</v>
      </c>
      <c r="B1" s="18" t="s">
        <v>152</v>
      </c>
      <c r="C1" s="18" t="s">
        <v>132</v>
      </c>
    </row>
    <row r="2" spans="1:3" x14ac:dyDescent="0.25">
      <c r="A2" t="s">
        <v>30</v>
      </c>
      <c r="B2" t="s">
        <v>20</v>
      </c>
      <c r="C2">
        <v>320</v>
      </c>
    </row>
    <row r="3" spans="1:3" x14ac:dyDescent="0.25">
      <c r="A3" t="s">
        <v>30</v>
      </c>
      <c r="B3" t="s">
        <v>150</v>
      </c>
      <c r="C3">
        <v>1000</v>
      </c>
    </row>
    <row r="4" spans="1:3" x14ac:dyDescent="0.25">
      <c r="A4" t="s">
        <v>30</v>
      </c>
      <c r="B4" t="s">
        <v>149</v>
      </c>
      <c r="C4">
        <v>1000</v>
      </c>
    </row>
    <row r="5" spans="1:3" x14ac:dyDescent="0.25">
      <c r="A5" t="s">
        <v>70</v>
      </c>
      <c r="B5" t="s">
        <v>45</v>
      </c>
      <c r="C5">
        <v>240</v>
      </c>
    </row>
    <row r="6" spans="1:3" x14ac:dyDescent="0.25">
      <c r="A6" t="s">
        <v>70</v>
      </c>
      <c r="B6" t="s">
        <v>39</v>
      </c>
      <c r="C6">
        <v>575</v>
      </c>
    </row>
    <row r="7" spans="1:3" x14ac:dyDescent="0.25">
      <c r="A7" t="s">
        <v>70</v>
      </c>
      <c r="B7" t="s">
        <v>147</v>
      </c>
      <c r="C7">
        <v>583</v>
      </c>
    </row>
    <row r="8" spans="1:3" x14ac:dyDescent="0.25">
      <c r="A8" t="s">
        <v>20</v>
      </c>
      <c r="B8" t="s">
        <v>45</v>
      </c>
      <c r="C8">
        <v>1298</v>
      </c>
    </row>
    <row r="9" spans="1:3" x14ac:dyDescent="0.25">
      <c r="A9" t="s">
        <v>20</v>
      </c>
      <c r="B9" t="s">
        <v>39</v>
      </c>
      <c r="C9">
        <v>674</v>
      </c>
    </row>
    <row r="10" spans="1:3" x14ac:dyDescent="0.25">
      <c r="A10" t="s">
        <v>20</v>
      </c>
      <c r="B10" t="s">
        <v>147</v>
      </c>
      <c r="C10">
        <v>1700</v>
      </c>
    </row>
    <row r="11" spans="1:3" x14ac:dyDescent="0.25">
      <c r="A11" t="s">
        <v>20</v>
      </c>
      <c r="B11" t="s">
        <v>38</v>
      </c>
      <c r="C11">
        <v>800</v>
      </c>
    </row>
    <row r="12" spans="1:3" x14ac:dyDescent="0.25">
      <c r="A12" t="s">
        <v>20</v>
      </c>
      <c r="B12" t="s">
        <v>37</v>
      </c>
      <c r="C12">
        <v>433</v>
      </c>
    </row>
    <row r="13" spans="1:3" x14ac:dyDescent="0.25">
      <c r="A13" t="s">
        <v>150</v>
      </c>
      <c r="B13" t="s">
        <v>38</v>
      </c>
      <c r="C13">
        <v>1000</v>
      </c>
    </row>
    <row r="14" spans="1:3" x14ac:dyDescent="0.25">
      <c r="A14" t="s">
        <v>149</v>
      </c>
      <c r="B14" t="s">
        <v>38</v>
      </c>
      <c r="C14">
        <v>1000</v>
      </c>
    </row>
    <row r="15" spans="1:3" x14ac:dyDescent="0.25">
      <c r="A15" t="s">
        <v>45</v>
      </c>
      <c r="B15" t="s">
        <v>39</v>
      </c>
      <c r="C15">
        <v>640</v>
      </c>
    </row>
    <row r="16" spans="1:3" x14ac:dyDescent="0.25">
      <c r="A16" t="s">
        <v>45</v>
      </c>
      <c r="B16" t="s">
        <v>147</v>
      </c>
      <c r="C16">
        <v>520</v>
      </c>
    </row>
    <row r="17" spans="1:3" x14ac:dyDescent="0.25">
      <c r="A17" t="s">
        <v>45</v>
      </c>
      <c r="B17" t="s">
        <v>38</v>
      </c>
      <c r="C17">
        <v>637</v>
      </c>
    </row>
    <row r="18" spans="1:3" x14ac:dyDescent="0.25">
      <c r="A18" t="s">
        <v>147</v>
      </c>
      <c r="B18" t="s">
        <v>38</v>
      </c>
      <c r="C18">
        <v>940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ef0ff67e-9087-4832-8b9d-0b53066cc775">
      <Terms xmlns="http://schemas.microsoft.com/office/infopath/2007/PartnerControls"/>
    </lcf76f155ced4ddcb4097134ff3c332f>
    <TaxCatchAll xmlns="89e87ded-6359-4f8b-890f-4b93e2ce9d6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219A9FF51DF7F40A2797E30E842AF22" ma:contentTypeVersion="18" ma:contentTypeDescription="Create a new document." ma:contentTypeScope="" ma:versionID="14cd91dac819157c91b1d14f281b7de0">
  <xsd:schema xmlns:xsd="http://www.w3.org/2001/XMLSchema" xmlns:xs="http://www.w3.org/2001/XMLSchema" xmlns:p="http://schemas.microsoft.com/office/2006/metadata/properties" xmlns:ns2="ef0ff67e-9087-4832-8b9d-0b53066cc775" xmlns:ns3="89e87ded-6359-4f8b-890f-4b93e2ce9d62" targetNamespace="http://schemas.microsoft.com/office/2006/metadata/properties" ma:root="true" ma:fieldsID="59d8e09582726c96a64897b0d147333a" ns2:_="" ns3:_="">
    <xsd:import namespace="ef0ff67e-9087-4832-8b9d-0b53066cc775"/>
    <xsd:import namespace="89e87ded-6359-4f8b-890f-4b93e2ce9d6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f0ff67e-9087-4832-8b9d-0b53066cc77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MediaServiceLocation" ma:index="20" nillable="true" ma:displayName="Location" ma:internalName="MediaServiceLocation" ma:readOnly="true">
      <xsd:simpleType>
        <xsd:restriction base="dms:Text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94ff3b9c-19f0-420d-a4cb-c70adf2f2c4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e87ded-6359-4f8b-890f-4b93e2ce9d62" elementFormDefault="qualified">
    <xsd:import namespace="http://schemas.microsoft.com/office/2006/documentManagement/types"/>
    <xsd:import namespace="http://schemas.microsoft.com/office/infopath/2007/PartnerControls"/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f1b8a3ce-642d-4a39-a5da-f65dc8781456}" ma:internalName="TaxCatchAll" ma:showField="CatchAllData" ma:web="89e87ded-6359-4f8b-890f-4b93e2ce9d6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1FDA4F6-8237-4AAA-84B8-AECFD549038D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ACAF3F0-A2CA-497B-8705-2777094C916D}">
  <ds:schemaRefs>
    <ds:schemaRef ds:uri="http://schemas.microsoft.com/office/2006/metadata/properties"/>
    <ds:schemaRef ds:uri="http://schemas.microsoft.com/office/infopath/2007/PartnerControls"/>
    <ds:schemaRef ds:uri="ef0ff67e-9087-4832-8b9d-0b53066cc775"/>
    <ds:schemaRef ds:uri="89e87ded-6359-4f8b-890f-4b93e2ce9d62"/>
  </ds:schemaRefs>
</ds:datastoreItem>
</file>

<file path=customXml/itemProps3.xml><?xml version="1.0" encoding="utf-8"?>
<ds:datastoreItem xmlns:ds="http://schemas.openxmlformats.org/officeDocument/2006/customXml" ds:itemID="{109886AA-45CB-43C9-9308-75A4553674A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f0ff67e-9087-4832-8b9d-0b53066cc775"/>
    <ds:schemaRef ds:uri="89e87ded-6359-4f8b-890f-4b93e2ce9d6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Settings</vt:lpstr>
      <vt:lpstr>Network</vt:lpstr>
      <vt:lpstr>Make</vt:lpstr>
      <vt:lpstr>Store</vt:lpstr>
      <vt:lpstr>Deliver</vt:lpstr>
      <vt:lpstr>Move_TRAIN</vt:lpstr>
      <vt:lpstr>Move_SHIP</vt:lpstr>
      <vt:lpstr>SHIP_BERTHS</vt:lpstr>
      <vt:lpstr>SHIP_ROUTES</vt:lpstr>
      <vt:lpstr>SHIP_DISTANCES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Zephien Prinsloo</dc:creator>
  <cp:lastModifiedBy>Zephien Prinsloo</cp:lastModifiedBy>
  <dcterms:created xsi:type="dcterms:W3CDTF">2025-12-08T02:01:44Z</dcterms:created>
  <dcterms:modified xsi:type="dcterms:W3CDTF">2025-12-17T04:09:15Z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0x010100E219A9FF51DF7F40A2797E30E842AF22</vt:lpwstr>
  </property>
  <property fmtid="{D5CDD505-2E9C-101B-9397-08002B2CF9AE}" pid="3" name="MediaServiceImageTags">
    <vt:lpwstr/>
  </property>
</Properties>
</file>